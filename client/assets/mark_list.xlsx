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AppData\Local\Packages\5319275A.WhatsAppDesktop_cv1g1gvanyjgm\LocalState\sessions\33CFF2FD2F50EDFBD8127556173E8DF1F03FD34D\transfers\2026-12\"/>
    </mc:Choice>
  </mc:AlternateContent>
  <xr:revisionPtr revIDLastSave="0" documentId="13_ncr:1_{327283A7-CB7F-4CDD-BD83-4375DBD9F4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IDS A" sheetId="1" r:id="rId1"/>
    <sheet name="AIDS B" sheetId="2" r:id="rId2"/>
    <sheet name="AIDS C" sheetId="3" r:id="rId3"/>
    <sheet name="Overal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I74" i="3"/>
  <c r="H74" i="3"/>
  <c r="G74" i="3"/>
  <c r="F74" i="3"/>
  <c r="E74" i="3"/>
  <c r="I72" i="3"/>
  <c r="H72" i="3"/>
  <c r="G72" i="3"/>
  <c r="F72" i="3"/>
  <c r="E72" i="3"/>
  <c r="I70" i="3"/>
  <c r="H70" i="3"/>
  <c r="G70" i="3"/>
  <c r="F70" i="3"/>
  <c r="E70" i="3"/>
  <c r="M69" i="3"/>
  <c r="K69" i="3"/>
  <c r="L69" i="3" s="1"/>
  <c r="J69" i="3"/>
  <c r="M68" i="3"/>
  <c r="K68" i="3"/>
  <c r="L68" i="3" s="1"/>
  <c r="J68" i="3"/>
  <c r="M67" i="3"/>
  <c r="K67" i="3"/>
  <c r="L67" i="3" s="1"/>
  <c r="J67" i="3"/>
  <c r="M66" i="3"/>
  <c r="K66" i="3"/>
  <c r="L66" i="3" s="1"/>
  <c r="J66" i="3"/>
  <c r="M65" i="3"/>
  <c r="K65" i="3"/>
  <c r="L65" i="3" s="1"/>
  <c r="J65" i="3"/>
  <c r="M64" i="3"/>
  <c r="K64" i="3"/>
  <c r="L64" i="3" s="1"/>
  <c r="J64" i="3"/>
  <c r="M63" i="3"/>
  <c r="K63" i="3"/>
  <c r="L63" i="3" s="1"/>
  <c r="J63" i="3"/>
  <c r="M62" i="3"/>
  <c r="K62" i="3"/>
  <c r="L62" i="3" s="1"/>
  <c r="J62" i="3"/>
  <c r="M61" i="3"/>
  <c r="K61" i="3"/>
  <c r="L61" i="3" s="1"/>
  <c r="J61" i="3"/>
  <c r="M60" i="3"/>
  <c r="K60" i="3"/>
  <c r="L60" i="3" s="1"/>
  <c r="J60" i="3"/>
  <c r="M59" i="3"/>
  <c r="K59" i="3"/>
  <c r="L59" i="3" s="1"/>
  <c r="J59" i="3"/>
  <c r="M58" i="3"/>
  <c r="K58" i="3"/>
  <c r="L58" i="3" s="1"/>
  <c r="J58" i="3"/>
  <c r="M57" i="3"/>
  <c r="K57" i="3"/>
  <c r="L57" i="3" s="1"/>
  <c r="J57" i="3"/>
  <c r="M56" i="3"/>
  <c r="K56" i="3"/>
  <c r="L56" i="3" s="1"/>
  <c r="J56" i="3"/>
  <c r="M55" i="3"/>
  <c r="K55" i="3"/>
  <c r="L55" i="3" s="1"/>
  <c r="J55" i="3"/>
  <c r="M54" i="3"/>
  <c r="K54" i="3"/>
  <c r="L54" i="3" s="1"/>
  <c r="J54" i="3"/>
  <c r="M53" i="3"/>
  <c r="K53" i="3"/>
  <c r="L53" i="3" s="1"/>
  <c r="J53" i="3"/>
  <c r="M52" i="3"/>
  <c r="K52" i="3"/>
  <c r="L52" i="3" s="1"/>
  <c r="J52" i="3"/>
  <c r="M51" i="3"/>
  <c r="K51" i="3"/>
  <c r="L51" i="3" s="1"/>
  <c r="J51" i="3"/>
  <c r="M50" i="3"/>
  <c r="K50" i="3"/>
  <c r="L50" i="3" s="1"/>
  <c r="J50" i="3"/>
  <c r="M49" i="3"/>
  <c r="K49" i="3"/>
  <c r="L49" i="3" s="1"/>
  <c r="J49" i="3"/>
  <c r="M48" i="3"/>
  <c r="K48" i="3"/>
  <c r="L48" i="3" s="1"/>
  <c r="J48" i="3"/>
  <c r="M47" i="3"/>
  <c r="K47" i="3"/>
  <c r="L47" i="3" s="1"/>
  <c r="J47" i="3"/>
  <c r="M46" i="3"/>
  <c r="K46" i="3"/>
  <c r="L46" i="3" s="1"/>
  <c r="J46" i="3"/>
  <c r="M45" i="3"/>
  <c r="K45" i="3"/>
  <c r="L45" i="3" s="1"/>
  <c r="J45" i="3"/>
  <c r="M44" i="3"/>
  <c r="K44" i="3"/>
  <c r="L44" i="3" s="1"/>
  <c r="J44" i="3"/>
  <c r="M43" i="3"/>
  <c r="K43" i="3"/>
  <c r="L43" i="3" s="1"/>
  <c r="J43" i="3"/>
  <c r="M42" i="3"/>
  <c r="K42" i="3"/>
  <c r="L42" i="3" s="1"/>
  <c r="J42" i="3"/>
  <c r="M41" i="3"/>
  <c r="K41" i="3"/>
  <c r="L41" i="3" s="1"/>
  <c r="J41" i="3"/>
  <c r="M40" i="3"/>
  <c r="K40" i="3"/>
  <c r="L40" i="3" s="1"/>
  <c r="J40" i="3"/>
  <c r="M39" i="3"/>
  <c r="K39" i="3"/>
  <c r="L39" i="3" s="1"/>
  <c r="J39" i="3"/>
  <c r="M38" i="3"/>
  <c r="K38" i="3"/>
  <c r="L38" i="3" s="1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M16" i="3"/>
  <c r="K16" i="3"/>
  <c r="L16" i="3" s="1"/>
  <c r="J16" i="3"/>
  <c r="M15" i="3"/>
  <c r="K15" i="3"/>
  <c r="L15" i="3" s="1"/>
  <c r="J15" i="3"/>
  <c r="M14" i="3"/>
  <c r="K14" i="3"/>
  <c r="L14" i="3" s="1"/>
  <c r="J14" i="3"/>
  <c r="M13" i="3"/>
  <c r="K13" i="3"/>
  <c r="L13" i="3" s="1"/>
  <c r="J13" i="3"/>
  <c r="M12" i="3"/>
  <c r="K12" i="3"/>
  <c r="L12" i="3" s="1"/>
  <c r="J12" i="3"/>
  <c r="M11" i="3"/>
  <c r="K11" i="3"/>
  <c r="L11" i="3" s="1"/>
  <c r="J11" i="3"/>
  <c r="M10" i="3"/>
  <c r="K10" i="3"/>
  <c r="L10" i="3" s="1"/>
  <c r="J10" i="3"/>
  <c r="M9" i="3"/>
  <c r="K9" i="3"/>
  <c r="J9" i="3"/>
  <c r="M8" i="3"/>
  <c r="K8" i="3"/>
  <c r="J8" i="3"/>
  <c r="I75" i="2"/>
  <c r="H75" i="2"/>
  <c r="G75" i="2"/>
  <c r="F75" i="2"/>
  <c r="E75" i="2"/>
  <c r="I73" i="2"/>
  <c r="H73" i="2"/>
  <c r="G73" i="2"/>
  <c r="F73" i="2"/>
  <c r="F74" i="2" s="1"/>
  <c r="E73" i="2"/>
  <c r="E74" i="2" s="1"/>
  <c r="I71" i="2"/>
  <c r="H71" i="2"/>
  <c r="G71" i="2"/>
  <c r="F71" i="2"/>
  <c r="E71" i="2"/>
  <c r="M69" i="2"/>
  <c r="K69" i="2"/>
  <c r="L69" i="2" s="1"/>
  <c r="J69" i="2"/>
  <c r="M68" i="2"/>
  <c r="K68" i="2"/>
  <c r="L68" i="2" s="1"/>
  <c r="J68" i="2"/>
  <c r="M67" i="2"/>
  <c r="L67" i="2"/>
  <c r="K67" i="2"/>
  <c r="J67" i="2"/>
  <c r="M66" i="2"/>
  <c r="K66" i="2"/>
  <c r="L66" i="2" s="1"/>
  <c r="J66" i="2"/>
  <c r="M65" i="2"/>
  <c r="K65" i="2"/>
  <c r="L65" i="2" s="1"/>
  <c r="J65" i="2"/>
  <c r="M64" i="2"/>
  <c r="K64" i="2"/>
  <c r="L64" i="2" s="1"/>
  <c r="J64" i="2"/>
  <c r="M63" i="2"/>
  <c r="K63" i="2"/>
  <c r="L63" i="2" s="1"/>
  <c r="J63" i="2"/>
  <c r="M62" i="2"/>
  <c r="K62" i="2"/>
  <c r="L62" i="2" s="1"/>
  <c r="J62" i="2"/>
  <c r="M61" i="2"/>
  <c r="K61" i="2"/>
  <c r="L61" i="2" s="1"/>
  <c r="J61" i="2"/>
  <c r="M60" i="2"/>
  <c r="K60" i="2"/>
  <c r="L60" i="2" s="1"/>
  <c r="J60" i="2"/>
  <c r="M59" i="2"/>
  <c r="K59" i="2"/>
  <c r="L59" i="2" s="1"/>
  <c r="J59" i="2"/>
  <c r="M58" i="2"/>
  <c r="L58" i="2"/>
  <c r="K58" i="2"/>
  <c r="J58" i="2"/>
  <c r="M57" i="2"/>
  <c r="K57" i="2"/>
  <c r="L57" i="2" s="1"/>
  <c r="J57" i="2"/>
  <c r="M56" i="2"/>
  <c r="K56" i="2"/>
  <c r="L56" i="2" s="1"/>
  <c r="J56" i="2"/>
  <c r="M55" i="2"/>
  <c r="K55" i="2"/>
  <c r="L55" i="2" s="1"/>
  <c r="J55" i="2"/>
  <c r="M54" i="2"/>
  <c r="K54" i="2"/>
  <c r="L54" i="2" s="1"/>
  <c r="J54" i="2"/>
  <c r="M53" i="2"/>
  <c r="K53" i="2"/>
  <c r="L53" i="2" s="1"/>
  <c r="J53" i="2"/>
  <c r="M52" i="2"/>
  <c r="K52" i="2"/>
  <c r="L52" i="2" s="1"/>
  <c r="J52" i="2"/>
  <c r="M51" i="2"/>
  <c r="K51" i="2"/>
  <c r="L51" i="2" s="1"/>
  <c r="J51" i="2"/>
  <c r="M50" i="2"/>
  <c r="K50" i="2"/>
  <c r="L50" i="2" s="1"/>
  <c r="J50" i="2"/>
  <c r="M49" i="2"/>
  <c r="K49" i="2"/>
  <c r="L49" i="2" s="1"/>
  <c r="J49" i="2"/>
  <c r="M48" i="2"/>
  <c r="K48" i="2"/>
  <c r="L48" i="2" s="1"/>
  <c r="J48" i="2"/>
  <c r="M47" i="2"/>
  <c r="K47" i="2"/>
  <c r="L47" i="2" s="1"/>
  <c r="J47" i="2"/>
  <c r="M46" i="2"/>
  <c r="K46" i="2"/>
  <c r="L46" i="2" s="1"/>
  <c r="J46" i="2"/>
  <c r="M45" i="2"/>
  <c r="K45" i="2"/>
  <c r="L45" i="2" s="1"/>
  <c r="J45" i="2"/>
  <c r="M44" i="2"/>
  <c r="K44" i="2"/>
  <c r="L44" i="2" s="1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M22" i="2"/>
  <c r="K22" i="2"/>
  <c r="L22" i="2" s="1"/>
  <c r="J22" i="2"/>
  <c r="M21" i="2"/>
  <c r="K21" i="2"/>
  <c r="L21" i="2" s="1"/>
  <c r="J21" i="2"/>
  <c r="M20" i="2"/>
  <c r="K20" i="2"/>
  <c r="L20" i="2" s="1"/>
  <c r="J20" i="2"/>
  <c r="M19" i="2"/>
  <c r="K19" i="2"/>
  <c r="L19" i="2" s="1"/>
  <c r="J19" i="2"/>
  <c r="M18" i="2"/>
  <c r="K18" i="2"/>
  <c r="L18" i="2" s="1"/>
  <c r="J18" i="2"/>
  <c r="M17" i="2"/>
  <c r="K17" i="2"/>
  <c r="L17" i="2" s="1"/>
  <c r="J17" i="2"/>
  <c r="M16" i="2"/>
  <c r="K16" i="2"/>
  <c r="L16" i="2" s="1"/>
  <c r="J16" i="2"/>
  <c r="M15" i="2"/>
  <c r="K15" i="2"/>
  <c r="L15" i="2" s="1"/>
  <c r="J15" i="2"/>
  <c r="M14" i="2"/>
  <c r="K14" i="2"/>
  <c r="L14" i="2" s="1"/>
  <c r="J14" i="2"/>
  <c r="M13" i="2"/>
  <c r="K13" i="2"/>
  <c r="L13" i="2" s="1"/>
  <c r="J13" i="2"/>
  <c r="M12" i="2"/>
  <c r="K12" i="2"/>
  <c r="L12" i="2" s="1"/>
  <c r="J12" i="2"/>
  <c r="M11" i="2"/>
  <c r="K11" i="2"/>
  <c r="L11" i="2" s="1"/>
  <c r="J11" i="2"/>
  <c r="M10" i="2"/>
  <c r="K10" i="2"/>
  <c r="L10" i="2" s="1"/>
  <c r="J10" i="2"/>
  <c r="M9" i="2"/>
  <c r="K9" i="2"/>
  <c r="J9" i="2"/>
  <c r="M8" i="2"/>
  <c r="K8" i="2"/>
  <c r="J8" i="2"/>
  <c r="I75" i="1"/>
  <c r="H75" i="1"/>
  <c r="G75" i="1"/>
  <c r="F75" i="1"/>
  <c r="E75" i="1"/>
  <c r="I73" i="1"/>
  <c r="H73" i="1"/>
  <c r="G73" i="1"/>
  <c r="F73" i="1"/>
  <c r="E73" i="1"/>
  <c r="I71" i="1"/>
  <c r="H71" i="1"/>
  <c r="G71" i="1"/>
  <c r="F71" i="1"/>
  <c r="E71" i="1"/>
  <c r="E72" i="1" s="1"/>
  <c r="M69" i="1"/>
  <c r="K69" i="1"/>
  <c r="L69" i="1" s="1"/>
  <c r="J69" i="1"/>
  <c r="M68" i="1"/>
  <c r="K68" i="1"/>
  <c r="L68" i="1" s="1"/>
  <c r="J68" i="1"/>
  <c r="M67" i="1"/>
  <c r="K67" i="1"/>
  <c r="L67" i="1" s="1"/>
  <c r="J67" i="1"/>
  <c r="M66" i="1"/>
  <c r="K66" i="1"/>
  <c r="L66" i="1" s="1"/>
  <c r="J66" i="1"/>
  <c r="M65" i="1"/>
  <c r="K65" i="1"/>
  <c r="L65" i="1" s="1"/>
  <c r="J65" i="1"/>
  <c r="M64" i="1"/>
  <c r="K64" i="1"/>
  <c r="L64" i="1" s="1"/>
  <c r="J64" i="1"/>
  <c r="M63" i="1"/>
  <c r="K63" i="1"/>
  <c r="L63" i="1" s="1"/>
  <c r="J63" i="1"/>
  <c r="M62" i="1"/>
  <c r="K62" i="1"/>
  <c r="L62" i="1" s="1"/>
  <c r="J62" i="1"/>
  <c r="M61" i="1"/>
  <c r="K61" i="1"/>
  <c r="L61" i="1" s="1"/>
  <c r="J61" i="1"/>
  <c r="M60" i="1"/>
  <c r="K60" i="1"/>
  <c r="L60" i="1" s="1"/>
  <c r="J60" i="1"/>
  <c r="M59" i="1"/>
  <c r="K59" i="1"/>
  <c r="L59" i="1" s="1"/>
  <c r="J59" i="1"/>
  <c r="M58" i="1"/>
  <c r="K58" i="1"/>
  <c r="L58" i="1" s="1"/>
  <c r="J58" i="1"/>
  <c r="M57" i="1"/>
  <c r="K57" i="1"/>
  <c r="L57" i="1" s="1"/>
  <c r="J57" i="1"/>
  <c r="M56" i="1"/>
  <c r="K56" i="1"/>
  <c r="L56" i="1" s="1"/>
  <c r="J56" i="1"/>
  <c r="M55" i="1"/>
  <c r="K55" i="1"/>
  <c r="L55" i="1" s="1"/>
  <c r="J55" i="1"/>
  <c r="M54" i="1"/>
  <c r="K54" i="1"/>
  <c r="L54" i="1" s="1"/>
  <c r="J54" i="1"/>
  <c r="M53" i="1"/>
  <c r="K53" i="1"/>
  <c r="L53" i="1" s="1"/>
  <c r="J53" i="1"/>
  <c r="M52" i="1"/>
  <c r="K52" i="1"/>
  <c r="L52" i="1" s="1"/>
  <c r="J52" i="1"/>
  <c r="M51" i="1"/>
  <c r="K51" i="1"/>
  <c r="L51" i="1" s="1"/>
  <c r="J51" i="1"/>
  <c r="M50" i="1"/>
  <c r="K50" i="1"/>
  <c r="L50" i="1" s="1"/>
  <c r="J50" i="1"/>
  <c r="M49" i="1"/>
  <c r="K49" i="1"/>
  <c r="L49" i="1" s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M24" i="1"/>
  <c r="K24" i="1"/>
  <c r="L24" i="1" s="1"/>
  <c r="J24" i="1"/>
  <c r="M23" i="1"/>
  <c r="K23" i="1"/>
  <c r="L23" i="1" s="1"/>
  <c r="J23" i="1"/>
  <c r="M22" i="1"/>
  <c r="K22" i="1"/>
  <c r="L22" i="1" s="1"/>
  <c r="J22" i="1"/>
  <c r="M21" i="1"/>
  <c r="K21" i="1"/>
  <c r="L21" i="1" s="1"/>
  <c r="J21" i="1"/>
  <c r="M20" i="1"/>
  <c r="K20" i="1"/>
  <c r="L20" i="1" s="1"/>
  <c r="J20" i="1"/>
  <c r="M19" i="1"/>
  <c r="K19" i="1"/>
  <c r="L19" i="1" s="1"/>
  <c r="J19" i="1"/>
  <c r="M18" i="1"/>
  <c r="K18" i="1"/>
  <c r="L18" i="1" s="1"/>
  <c r="J18" i="1"/>
  <c r="M17" i="1"/>
  <c r="K17" i="1"/>
  <c r="L17" i="1" s="1"/>
  <c r="J17" i="1"/>
  <c r="M16" i="1"/>
  <c r="K16" i="1"/>
  <c r="L16" i="1" s="1"/>
  <c r="J16" i="1"/>
  <c r="M15" i="1"/>
  <c r="K15" i="1"/>
  <c r="L15" i="1" s="1"/>
  <c r="J15" i="1"/>
  <c r="M14" i="1"/>
  <c r="K14" i="1"/>
  <c r="L14" i="1" s="1"/>
  <c r="J14" i="1"/>
  <c r="M13" i="1"/>
  <c r="K13" i="1"/>
  <c r="L13" i="1" s="1"/>
  <c r="J13" i="1"/>
  <c r="M12" i="1"/>
  <c r="K12" i="1"/>
  <c r="L12" i="1" s="1"/>
  <c r="J12" i="1"/>
  <c r="M11" i="1"/>
  <c r="K11" i="1"/>
  <c r="L11" i="1" s="1"/>
  <c r="J11" i="1"/>
  <c r="M10" i="1"/>
  <c r="K10" i="1"/>
  <c r="L10" i="1" s="1"/>
  <c r="J10" i="1"/>
  <c r="M9" i="1"/>
  <c r="K9" i="1"/>
  <c r="L9" i="1" s="1"/>
  <c r="J9" i="1"/>
  <c r="M8" i="1"/>
  <c r="E81" i="1" s="1"/>
  <c r="E82" i="1" s="1"/>
  <c r="K8" i="1"/>
  <c r="J8" i="1"/>
  <c r="E74" i="1" l="1"/>
  <c r="E84" i="1"/>
  <c r="E76" i="1"/>
  <c r="F74" i="1"/>
  <c r="G74" i="1"/>
  <c r="H72" i="1"/>
  <c r="F72" i="2"/>
  <c r="H74" i="2"/>
  <c r="F76" i="2"/>
  <c r="I74" i="2"/>
  <c r="E81" i="2"/>
  <c r="E82" i="2" s="1"/>
  <c r="E72" i="2"/>
  <c r="E76" i="2" s="1"/>
  <c r="E84" i="2"/>
  <c r="G74" i="2"/>
  <c r="H72" i="2"/>
  <c r="H76" i="2" s="1"/>
  <c r="I72" i="2"/>
  <c r="G71" i="3"/>
  <c r="E73" i="3"/>
  <c r="F73" i="3"/>
  <c r="I73" i="3"/>
  <c r="F71" i="3"/>
  <c r="I71" i="3"/>
  <c r="I75" i="3" s="1"/>
  <c r="G73" i="3"/>
  <c r="G75" i="3" s="1"/>
  <c r="E18" i="4"/>
  <c r="E80" i="3"/>
  <c r="E81" i="3" s="1"/>
  <c r="E23" i="4"/>
  <c r="F18" i="4"/>
  <c r="C18" i="4"/>
  <c r="D18" i="4"/>
  <c r="E71" i="3"/>
  <c r="F23" i="4"/>
  <c r="G18" i="4"/>
  <c r="H73" i="3"/>
  <c r="G23" i="4"/>
  <c r="I77" i="2"/>
  <c r="E78" i="3"/>
  <c r="E77" i="1"/>
  <c r="G72" i="1"/>
  <c r="G77" i="2"/>
  <c r="G77" i="1"/>
  <c r="I76" i="3"/>
  <c r="I72" i="1"/>
  <c r="I77" i="1"/>
  <c r="E79" i="2"/>
  <c r="E83" i="2" s="1"/>
  <c r="L8" i="3"/>
  <c r="E79" i="3"/>
  <c r="E77" i="2"/>
  <c r="F76" i="3"/>
  <c r="L8" i="1"/>
  <c r="F72" i="1"/>
  <c r="H74" i="1"/>
  <c r="G72" i="2"/>
  <c r="F77" i="2"/>
  <c r="H71" i="3"/>
  <c r="G76" i="3"/>
  <c r="I74" i="1"/>
  <c r="F77" i="1"/>
  <c r="H76" i="3"/>
  <c r="H77" i="2"/>
  <c r="H77" i="1"/>
  <c r="E79" i="1"/>
  <c r="E83" i="1" s="1"/>
  <c r="L8" i="2"/>
  <c r="E80" i="2"/>
  <c r="C23" i="4"/>
  <c r="E80" i="1"/>
  <c r="D23" i="4"/>
  <c r="L9" i="3"/>
  <c r="L9" i="2"/>
  <c r="E76" i="3"/>
  <c r="H76" i="1" l="1"/>
  <c r="G76" i="1"/>
  <c r="F76" i="1"/>
  <c r="I76" i="2"/>
  <c r="G76" i="2"/>
  <c r="H75" i="3"/>
  <c r="F75" i="3"/>
  <c r="E19" i="4"/>
  <c r="H18" i="4"/>
  <c r="E75" i="3"/>
  <c r="G19" i="4"/>
  <c r="E82" i="3"/>
  <c r="C19" i="4"/>
  <c r="F14" i="4"/>
  <c r="E14" i="4" s="1"/>
  <c r="G14" i="4" s="1"/>
  <c r="I76" i="1"/>
  <c r="D19" i="4"/>
  <c r="H23" i="4"/>
  <c r="F19" i="4"/>
  <c r="H19" i="4" l="1"/>
</calcChain>
</file>

<file path=xl/sharedStrings.xml><?xml version="1.0" encoding="utf-8"?>
<sst xmlns="http://schemas.openxmlformats.org/spreadsheetml/2006/main" count="339" uniqueCount="239">
  <si>
    <t>R. M. K. COLLEGE OF ENGINEERING AND TECHNOLOGY</t>
  </si>
  <si>
    <t>R. S. M NAGAR, PUDUVOYAL - 601 206</t>
  </si>
  <si>
    <t>Department of Science and Humanities</t>
  </si>
  <si>
    <t xml:space="preserve"> I Semester B.E  (Academic Year : 2025-26)</t>
  </si>
  <si>
    <t>Unit Test - II         Result Analysis</t>
  </si>
  <si>
    <t>Branch &amp; Section:AIDS - A</t>
  </si>
  <si>
    <t>Sl. No.</t>
  </si>
  <si>
    <t>Reg. No.</t>
  </si>
  <si>
    <t>Name</t>
  </si>
  <si>
    <t>Cut off</t>
  </si>
  <si>
    <t>Maths</t>
  </si>
  <si>
    <t>Chem</t>
  </si>
  <si>
    <t>C++</t>
  </si>
  <si>
    <t>SDP</t>
  </si>
  <si>
    <t>DPSD</t>
  </si>
  <si>
    <t>GPA</t>
  </si>
  <si>
    <t>No. of subjects failed</t>
  </si>
  <si>
    <t>absentees</t>
  </si>
  <si>
    <t>Attendance</t>
  </si>
  <si>
    <t>ABIJITH G S</t>
  </si>
  <si>
    <t>A</t>
  </si>
  <si>
    <t>ABISHEK M</t>
  </si>
  <si>
    <t>ADDIPALLI LAHITH VARMA</t>
  </si>
  <si>
    <t>AJAY R V</t>
  </si>
  <si>
    <t>AKSHAYA K</t>
  </si>
  <si>
    <t>AKSHAYA R</t>
  </si>
  <si>
    <t>ANAGHA SRIRAM S</t>
  </si>
  <si>
    <t>ANIPIREDDY LEELA VISHNU REDDY</t>
  </si>
  <si>
    <t>ANISHA LAKSHMI G S</t>
  </si>
  <si>
    <t>ARAVIND ALAGAPPAN AR</t>
  </si>
  <si>
    <t>ARCHANA ANBAZHAGAN</t>
  </si>
  <si>
    <t>AREDDULA VARSHITH KUMAR</t>
  </si>
  <si>
    <t>ARIGELA LIKITH SRINIVAS</t>
  </si>
  <si>
    <t>ARUNADEVI S</t>
  </si>
  <si>
    <t>ARURU NUTHAN KUMAR</t>
  </si>
  <si>
    <t>ARURU SAI SARAVANA</t>
  </si>
  <si>
    <t>BAGAVATHI E</t>
  </si>
  <si>
    <t>BALAJI T</t>
  </si>
  <si>
    <t>BENARJI M</t>
  </si>
  <si>
    <t>BHAVITH SAI REDDY B</t>
  </si>
  <si>
    <t>BHOOMIKA P</t>
  </si>
  <si>
    <t>BHUVANA LAKSHMI B</t>
  </si>
  <si>
    <t>BHUVANESWARAN R</t>
  </si>
  <si>
    <t>BUSIREDDY CHAITANYA</t>
  </si>
  <si>
    <t>CHANDRU M</t>
  </si>
  <si>
    <t>CHANDULURU VASAVI</t>
  </si>
  <si>
    <t>CHATRESH B</t>
  </si>
  <si>
    <t>DAKA VENKATA HARSHA VARDHAN REDDY</t>
  </si>
  <si>
    <t>DEEKSHITHA S M</t>
  </si>
  <si>
    <t>DEEPAK N S</t>
  </si>
  <si>
    <t>DESU RUPESH</t>
  </si>
  <si>
    <t>DEVASRI S K</t>
  </si>
  <si>
    <t>DHANUSH S</t>
  </si>
  <si>
    <t>DHARSHAN S</t>
  </si>
  <si>
    <t>DHARSHINI P V</t>
  </si>
  <si>
    <t>DHIYA R</t>
  </si>
  <si>
    <t>DINESH N</t>
  </si>
  <si>
    <t>DIVYA DHARSHINI C</t>
  </si>
  <si>
    <t>DIVYA T</t>
  </si>
  <si>
    <t>DONDETI BHARATH KUMAR REDDY</t>
  </si>
  <si>
    <t>DONDETI REVANTH REDDY</t>
  </si>
  <si>
    <t>DUVVURU DEEKSHITHA</t>
  </si>
  <si>
    <t>GANESH PRASATH J</t>
  </si>
  <si>
    <t>GEETHALAKSHMI B</t>
  </si>
  <si>
    <t>GIRI P</t>
  </si>
  <si>
    <t>GOLI VENKATA SUJITH</t>
  </si>
  <si>
    <t>GOLLA NITHYA SRI</t>
  </si>
  <si>
    <t>GOPI CHANDH K P</t>
  </si>
  <si>
    <t>GOWTHAM G</t>
  </si>
  <si>
    <t>GOWTHAM M V</t>
  </si>
  <si>
    <t>HARIHARASUTHAN N</t>
  </si>
  <si>
    <t>HARSHITHA K</t>
  </si>
  <si>
    <t>HARSHITHA V</t>
  </si>
  <si>
    <t>HASINI S</t>
  </si>
  <si>
    <t>HEENA S V</t>
  </si>
  <si>
    <t>HEERTHANA M</t>
  </si>
  <si>
    <t>HEMANATH S</t>
  </si>
  <si>
    <t>HEMAVARSHENE G V</t>
  </si>
  <si>
    <t>JAHNAVI R</t>
  </si>
  <si>
    <t>JALADANKI PRUDHVI REDDY</t>
  </si>
  <si>
    <t>JALADANKI VENKATA MIGNESH NAIDU</t>
  </si>
  <si>
    <t>Total No. of Students</t>
  </si>
  <si>
    <t>Total No. of Appeared</t>
  </si>
  <si>
    <t>Total No. of Absentees</t>
  </si>
  <si>
    <t>Total No. of Passes</t>
  </si>
  <si>
    <t>Total No. of Failures</t>
  </si>
  <si>
    <t>Pass %</t>
  </si>
  <si>
    <t xml:space="preserve">Failed only in </t>
  </si>
  <si>
    <t>Overall Pass</t>
  </si>
  <si>
    <t>Overall Fail</t>
  </si>
  <si>
    <t>Overall Absentees</t>
  </si>
  <si>
    <t>Overall Appeared</t>
  </si>
  <si>
    <t>Overall Pass %</t>
  </si>
  <si>
    <t>Highest Mark</t>
  </si>
  <si>
    <t>Branch &amp; Section: AIDS - B</t>
  </si>
  <si>
    <t>JANANI B</t>
  </si>
  <si>
    <t>JANANI S</t>
  </si>
  <si>
    <t>JEEVARATHINAM M</t>
  </si>
  <si>
    <t>JEFFRIN M</t>
  </si>
  <si>
    <t>JERRIPOTHU VENKATA SAI KRISHNA</t>
  </si>
  <si>
    <t>JYOSHITHA N M</t>
  </si>
  <si>
    <t>KAILASH S</t>
  </si>
  <si>
    <t>KAMALESH S</t>
  </si>
  <si>
    <t>KAMESH H</t>
  </si>
  <si>
    <t>KANCHARALA VENKATA MOHAN REDDDY</t>
  </si>
  <si>
    <t>KANESKA S M</t>
  </si>
  <si>
    <t>KANI MOZHI R</t>
  </si>
  <si>
    <t>KASU RAKESH REDDY</t>
  </si>
  <si>
    <t>KAVIARASI D</t>
  </si>
  <si>
    <t>KAVIYA SRI V</t>
  </si>
  <si>
    <t>KESAVARAJ S</t>
  </si>
  <si>
    <t>KETHU BHUVANESWARI</t>
  </si>
  <si>
    <t>KETHU JYOTHISWAR REDDY</t>
  </si>
  <si>
    <t>KOLAMALA JAHNAVI</t>
  </si>
  <si>
    <t>KOMMI SAI VARNIKA</t>
  </si>
  <si>
    <t>KONDURU SUSMITHA</t>
  </si>
  <si>
    <t>KOTA SAI CHARAN</t>
  </si>
  <si>
    <t>KRISHKA M</t>
  </si>
  <si>
    <t>LAKSHANIKA S T K</t>
  </si>
  <si>
    <t>LAKSHMI NARAYANAN S B</t>
  </si>
  <si>
    <t>LEKHA G</t>
  </si>
  <si>
    <t>LEKKALA PRANATHI</t>
  </si>
  <si>
    <t>LINGESHWARAN E</t>
  </si>
  <si>
    <t>LOGESWARI A</t>
  </si>
  <si>
    <t>LOHITH N</t>
  </si>
  <si>
    <t>LOKITHA M</t>
  </si>
  <si>
    <t>MADHAN KUMAR</t>
  </si>
  <si>
    <t>MANOJ SAMUEL S</t>
  </si>
  <si>
    <t>MELLAKANTI RUCHITHA</t>
  </si>
  <si>
    <t>MOHAMED IRFAN I</t>
  </si>
  <si>
    <t>MONISHA S</t>
  </si>
  <si>
    <t>MUKESH S</t>
  </si>
  <si>
    <t>NAVEEN KUMAR D</t>
  </si>
  <si>
    <t>NERELLA SAI ASWITHA</t>
  </si>
  <si>
    <t>NICKSON SIMEON ANTONY P</t>
  </si>
  <si>
    <t>NITHILAN A</t>
  </si>
  <si>
    <t>NITHISH KUMAR S</t>
  </si>
  <si>
    <t>NITHIYA SRI G</t>
  </si>
  <si>
    <t>NIVETHA S</t>
  </si>
  <si>
    <t>OVIYA S</t>
  </si>
  <si>
    <t>PARLAPALLI OJASWINI</t>
  </si>
  <si>
    <t>PEDDA VAMSI KRISHNA</t>
  </si>
  <si>
    <t>PEMMASANI DHANUSH</t>
  </si>
  <si>
    <t>POLICHETTY SAI GANESH</t>
  </si>
  <si>
    <t>PONMANI M</t>
  </si>
  <si>
    <t>PONMATHI I</t>
  </si>
  <si>
    <t>POOJA K</t>
  </si>
  <si>
    <t>POOVARASAN M</t>
  </si>
  <si>
    <t>PRADHIKSHA D</t>
  </si>
  <si>
    <t>PRAGADISWARRAN I</t>
  </si>
  <si>
    <t>PRAVEENA K</t>
  </si>
  <si>
    <t>PRAVIN KUMAR P</t>
  </si>
  <si>
    <t>PREM KUMAR RATHIGA KANIGA</t>
  </si>
  <si>
    <t>PRITHIKA P</t>
  </si>
  <si>
    <t>PRIYADARRSINI A</t>
  </si>
  <si>
    <t>PULLA THARUN</t>
  </si>
  <si>
    <t>PURUSHOTHAMAN R</t>
  </si>
  <si>
    <t>Branch &amp; Section: AIDS - C</t>
  </si>
  <si>
    <t>RADARAPU BABY JANANI</t>
  </si>
  <si>
    <t>RAHUL K</t>
  </si>
  <si>
    <t>RAJASRI G</t>
  </si>
  <si>
    <t>RAMACHANDRAN G</t>
  </si>
  <si>
    <t>RAMISETTY LASYA BHAVANI</t>
  </si>
  <si>
    <t>RANJITH N B</t>
  </si>
  <si>
    <t>RITHIKA J</t>
  </si>
  <si>
    <t>RITU N</t>
  </si>
  <si>
    <t>RUVANTHIKA S T K</t>
  </si>
  <si>
    <t>SACHIN D</t>
  </si>
  <si>
    <t>SAISHREYASH K S</t>
  </si>
  <si>
    <t>SAM ELIJAH BG</t>
  </si>
  <si>
    <t>SAM NICHOLAS H</t>
  </si>
  <si>
    <t>SANCHITA V</t>
  </si>
  <si>
    <t>SANDHIYA B</t>
  </si>
  <si>
    <t>SANDHIYA V</t>
  </si>
  <si>
    <t>SANGEETHA SRI R</t>
  </si>
  <si>
    <t>SANJANA N</t>
  </si>
  <si>
    <t>SANJAY SRIDHAR D A</t>
  </si>
  <si>
    <t>SANJU SHREE G</t>
  </si>
  <si>
    <t>SANTHOSH P</t>
  </si>
  <si>
    <t>SARAVANAN B L</t>
  </si>
  <si>
    <t>SHAIK JAKEER AHMED</t>
  </si>
  <si>
    <t>SHAMREEN FATHIMA J</t>
  </si>
  <si>
    <t>SHEETHAL S</t>
  </si>
  <si>
    <t>SHIVANI M</t>
  </si>
  <si>
    <t>SHREE DHARSHAN B R</t>
  </si>
  <si>
    <t>SIVARUBAN K G</t>
  </si>
  <si>
    <t>SOLLETI ANVITHA</t>
  </si>
  <si>
    <t>SUBHASHINI K</t>
  </si>
  <si>
    <t>SUMANTH S</t>
  </si>
  <si>
    <t>SURENDHAR K</t>
  </si>
  <si>
    <t>SYED AHMED BASHA</t>
  </si>
  <si>
    <t>TEJA SAI C</t>
  </si>
  <si>
    <t>TENALI SANHITH</t>
  </si>
  <si>
    <t>THANUJA N</t>
  </si>
  <si>
    <t>THANUSHREE P J</t>
  </si>
  <si>
    <t>THARIKA V</t>
  </si>
  <si>
    <t>THEJA KRISHNA R</t>
  </si>
  <si>
    <t>THENMOZHI K</t>
  </si>
  <si>
    <t>THULASI RAM K</t>
  </si>
  <si>
    <t>VADLAMUDI VENKATA SAI YASWANTH</t>
  </si>
  <si>
    <t>VALLURU HAASINI</t>
  </si>
  <si>
    <t>VASANTHA RAJA PRIYAN R</t>
  </si>
  <si>
    <t>VISHWA D</t>
  </si>
  <si>
    <t>VITHISHA M</t>
  </si>
  <si>
    <t>VOODARA AARTHI</t>
  </si>
  <si>
    <t>VUGGUMUDI SRI PAVAN</t>
  </si>
  <si>
    <t>YAAKSHITHA A N</t>
  </si>
  <si>
    <t>YAASH YADAV R I</t>
  </si>
  <si>
    <t>YARAGALA VIGNESH</t>
  </si>
  <si>
    <t>YASHIKA R</t>
  </si>
  <si>
    <t>YOGESH N</t>
  </si>
  <si>
    <t>YOGESHWARAN S</t>
  </si>
  <si>
    <t>YUTHISH KUMAR H</t>
  </si>
  <si>
    <t>YUVARAJ K</t>
  </si>
  <si>
    <t>PUVIYARASU B</t>
  </si>
  <si>
    <t>NADHI A</t>
  </si>
  <si>
    <t>SALA NAGA SAI SATYA ADITHYA</t>
  </si>
  <si>
    <t>GUDIPATI SPANDANA</t>
  </si>
  <si>
    <t>OMSAIVAMSI V</t>
  </si>
  <si>
    <t>NITHISH YADAV GUNASELAN</t>
  </si>
  <si>
    <t>R.M.K.COLLEGE OF ENGINEERING AND TECHNOLOGY</t>
  </si>
  <si>
    <t>R.S.M. NAGAR, PUDUVOYAL - 601 206</t>
  </si>
  <si>
    <t>Batch: 17                                                                                                       Date: 4.10.24</t>
  </si>
  <si>
    <t>IAT1      Result Analysis</t>
  </si>
  <si>
    <t>Dept.</t>
  </si>
  <si>
    <t>STUDENTS APPEARED</t>
  </si>
  <si>
    <t>STUDENTS PASSED</t>
  </si>
  <si>
    <t>STUDENTS FAILED</t>
  </si>
  <si>
    <t>PASS %</t>
  </si>
  <si>
    <t>AIDS</t>
  </si>
  <si>
    <t>No. of Failures(Dept.wise)</t>
  </si>
  <si>
    <t>Total</t>
  </si>
  <si>
    <t>Failed only in</t>
  </si>
  <si>
    <t>One Sub. failures</t>
  </si>
  <si>
    <t>Two Sub. failures</t>
  </si>
  <si>
    <t>Three Sub. failures</t>
  </si>
  <si>
    <t>Four Sub. failures</t>
  </si>
  <si>
    <t>Five Sub. failures</t>
  </si>
  <si>
    <t>Total No. of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</si>
</sst>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b/>
      <sz val="16"/>
      <color theme="1"/>
      <name val="&quot;Times New Roman&quot;"/>
    </font>
    <font>
      <sz val="10"/>
      <color theme="1"/>
      <name val="Arial"/>
    </font>
    <font>
      <sz val="12"/>
      <color theme="1"/>
      <name val="&quot;Times New Roman&quot;"/>
    </font>
    <font>
      <sz val="14"/>
      <color theme="1"/>
      <name val="&quot;Times New Roman&quot;"/>
    </font>
    <font>
      <b/>
      <sz val="14"/>
      <color theme="1"/>
      <name val="Times New Roman"/>
    </font>
    <font>
      <b/>
      <sz val="14"/>
      <color theme="1"/>
      <name val="&quot;Times New Roman&quot;"/>
    </font>
    <font>
      <b/>
      <sz val="12"/>
      <color theme="1"/>
      <name val="Times New Roman"/>
    </font>
    <font>
      <sz val="10"/>
      <name val="Arial"/>
    </font>
    <font>
      <b/>
      <sz val="11"/>
      <color theme="1"/>
      <name val="Times New Roman"/>
    </font>
    <font>
      <sz val="10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theme="1"/>
      <name val="Arial"/>
    </font>
    <font>
      <sz val="8"/>
      <color rgb="FF000000"/>
      <name val="Verdana"/>
    </font>
    <font>
      <sz val="10"/>
      <color theme="1"/>
      <name val="Arial"/>
      <scheme val="minor"/>
    </font>
    <font>
      <sz val="12"/>
      <color theme="1"/>
      <name val="Arial"/>
    </font>
    <font>
      <sz val="12"/>
      <color theme="1"/>
      <name val="Calibri"/>
    </font>
    <font>
      <sz val="14"/>
      <color rgb="FFFF0000"/>
      <name val="&quot;Times New Roman&quot;"/>
    </font>
    <font>
      <b/>
      <sz val="14"/>
      <color rgb="FFFF0000"/>
      <name val="Calibri"/>
    </font>
    <font>
      <sz val="14"/>
      <color rgb="FFFF0000"/>
      <name val="Calibri"/>
    </font>
    <font>
      <b/>
      <sz val="11"/>
      <color theme="1"/>
      <name val="&quot;Times New Roman&quot;"/>
    </font>
    <font>
      <b/>
      <sz val="10"/>
      <color theme="1"/>
      <name val="&quot;Times New Roman&quot;"/>
    </font>
    <font>
      <sz val="11"/>
      <color rgb="FF000000"/>
      <name val="Calibri"/>
    </font>
    <font>
      <b/>
      <sz val="12"/>
      <color rgb="FF000000"/>
      <name val="Times New Roman"/>
    </font>
    <font>
      <b/>
      <sz val="12"/>
      <color rgb="FFFF0000"/>
      <name val="Times New Roman"/>
    </font>
    <font>
      <sz val="13"/>
      <color theme="1"/>
      <name val="Calibri"/>
    </font>
    <font>
      <sz val="12"/>
      <color rgb="FF000000"/>
      <name val="&quot;Times New Roman&quot;"/>
    </font>
    <font>
      <sz val="10"/>
      <color rgb="FF000000"/>
      <name val="Arial"/>
    </font>
    <font>
      <b/>
      <sz val="12"/>
      <color theme="1"/>
      <name val="&quot;Times New Roman&quot;"/>
    </font>
    <font>
      <b/>
      <sz val="10"/>
      <color theme="1"/>
      <name val="Times New Roman"/>
    </font>
    <font>
      <b/>
      <u/>
      <sz val="12"/>
      <color theme="1"/>
      <name val="&quot;Times New Roman&quot;"/>
    </font>
    <font>
      <sz val="11"/>
      <color theme="1"/>
      <name val="&quot;Times New Roman&quot;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vertical="center" wrapText="1"/>
    </xf>
    <xf numFmtId="2" fontId="9" fillId="3" borderId="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0" fontId="11" fillId="2" borderId="4" xfId="0" applyFont="1" applyFill="1" applyBorder="1"/>
    <xf numFmtId="0" fontId="2" fillId="2" borderId="3" xfId="0" applyFont="1" applyFill="1" applyBorder="1"/>
    <xf numFmtId="0" fontId="12" fillId="0" borderId="4" xfId="0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right"/>
    </xf>
    <xf numFmtId="0" fontId="16" fillId="2" borderId="4" xfId="0" applyFont="1" applyFill="1" applyBorder="1" applyAlignment="1">
      <alignment horizontal="center"/>
    </xf>
    <xf numFmtId="1" fontId="17" fillId="0" borderId="0" xfId="0" applyNumberFormat="1" applyFont="1"/>
    <xf numFmtId="0" fontId="12" fillId="2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" fontId="2" fillId="0" borderId="0" xfId="0" applyNumberFormat="1" applyFont="1"/>
    <xf numFmtId="0" fontId="2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7" fillId="0" borderId="0" xfId="0" applyFont="1" applyAlignment="1">
      <alignment horizontal="left"/>
    </xf>
    <xf numFmtId="2" fontId="2" fillId="0" borderId="0" xfId="0" applyNumberFormat="1" applyFont="1"/>
    <xf numFmtId="1" fontId="2" fillId="0" borderId="5" xfId="0" applyNumberFormat="1" applyFont="1" applyBorder="1"/>
    <xf numFmtId="0" fontId="3" fillId="4" borderId="1" xfId="0" applyFont="1" applyFill="1" applyBorder="1" applyAlignment="1">
      <alignment horizontal="center"/>
    </xf>
    <xf numFmtId="0" fontId="2" fillId="4" borderId="3" xfId="0" applyFont="1" applyFill="1" applyBorder="1"/>
    <xf numFmtId="0" fontId="18" fillId="4" borderId="3" xfId="0" applyFont="1" applyFill="1" applyBorder="1" applyAlignment="1">
      <alignment horizont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2" fillId="3" borderId="3" xfId="0" applyFont="1" applyFill="1" applyBorder="1"/>
    <xf numFmtId="0" fontId="19" fillId="3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5" borderId="3" xfId="0" applyFont="1" applyFill="1" applyBorder="1"/>
    <xf numFmtId="0" fontId="19" fillId="5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3" xfId="0" applyFont="1" applyFill="1" applyBorder="1"/>
    <xf numFmtId="0" fontId="19" fillId="6" borderId="3" xfId="0" applyFont="1" applyFill="1" applyBorder="1" applyAlignment="1">
      <alignment horizontal="center"/>
    </xf>
    <xf numFmtId="0" fontId="2" fillId="0" borderId="5" xfId="0" applyFont="1" applyBorder="1"/>
    <xf numFmtId="0" fontId="3" fillId="7" borderId="1" xfId="0" applyFont="1" applyFill="1" applyBorder="1" applyAlignment="1">
      <alignment horizontal="center"/>
    </xf>
    <xf numFmtId="0" fontId="2" fillId="7" borderId="3" xfId="0" applyFont="1" applyFill="1" applyBorder="1"/>
    <xf numFmtId="0" fontId="18" fillId="7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8" borderId="3" xfId="0" applyFont="1" applyFill="1" applyBorder="1"/>
    <xf numFmtId="2" fontId="19" fillId="8" borderId="3" xfId="0" applyNumberFormat="1" applyFont="1" applyFill="1" applyBorder="1" applyAlignment="1">
      <alignment horizontal="center"/>
    </xf>
    <xf numFmtId="2" fontId="2" fillId="2" borderId="0" xfId="0" applyNumberFormat="1" applyFont="1" applyFill="1"/>
    <xf numFmtId="0" fontId="3" fillId="9" borderId="1" xfId="0" applyFont="1" applyFill="1" applyBorder="1" applyAlignment="1">
      <alignment horizontal="center"/>
    </xf>
    <xf numFmtId="0" fontId="2" fillId="9" borderId="3" xfId="0" applyFont="1" applyFill="1" applyBorder="1"/>
    <xf numFmtId="0" fontId="18" fillId="9" borderId="3" xfId="0" applyFont="1" applyFill="1" applyBorder="1" applyAlignment="1">
      <alignment horizontal="center"/>
    </xf>
    <xf numFmtId="0" fontId="2" fillId="2" borderId="1" xfId="0" applyFont="1" applyFill="1" applyBorder="1"/>
    <xf numFmtId="2" fontId="2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2" fillId="10" borderId="5" xfId="0" applyFont="1" applyFill="1" applyBorder="1"/>
    <xf numFmtId="1" fontId="21" fillId="10" borderId="3" xfId="0" applyNumberFormat="1" applyFont="1" applyFill="1" applyBorder="1" applyAlignment="1">
      <alignment horizontal="center"/>
    </xf>
    <xf numFmtId="0" fontId="2" fillId="10" borderId="3" xfId="0" applyFont="1" applyFill="1" applyBorder="1"/>
    <xf numFmtId="2" fontId="21" fillId="10" borderId="3" xfId="0" applyNumberFormat="1" applyFont="1" applyFill="1" applyBorder="1" applyAlignment="1">
      <alignment horizontal="center"/>
    </xf>
    <xf numFmtId="2" fontId="22" fillId="1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" fillId="3" borderId="0" xfId="0" applyFont="1" applyFill="1"/>
    <xf numFmtId="0" fontId="9" fillId="3" borderId="4" xfId="0" applyFont="1" applyFill="1" applyBorder="1" applyAlignment="1">
      <alignment horizontal="center" wrapText="1"/>
    </xf>
    <xf numFmtId="1" fontId="11" fillId="13" borderId="4" xfId="0" applyNumberFormat="1" applyFont="1" applyFill="1" applyBorder="1" applyAlignment="1">
      <alignment horizontal="center"/>
    </xf>
    <xf numFmtId="0" fontId="11" fillId="13" borderId="4" xfId="0" applyFont="1" applyFill="1" applyBorder="1"/>
    <xf numFmtId="0" fontId="25" fillId="0" borderId="4" xfId="0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26" fillId="0" borderId="3" xfId="0" applyNumberFormat="1" applyFont="1" applyBorder="1" applyAlignment="1">
      <alignment horizontal="center"/>
    </xf>
    <xf numFmtId="1" fontId="27" fillId="0" borderId="3" xfId="0" applyNumberFormat="1" applyFont="1" applyBorder="1" applyAlignment="1">
      <alignment horizontal="center"/>
    </xf>
    <xf numFmtId="1" fontId="25" fillId="0" borderId="0" xfId="0" applyNumberFormat="1" applyFont="1"/>
    <xf numFmtId="0" fontId="25" fillId="0" borderId="0" xfId="0" applyFont="1"/>
    <xf numFmtId="2" fontId="28" fillId="8" borderId="3" xfId="0" applyNumberFormat="1" applyFont="1" applyFill="1" applyBorder="1" applyAlignment="1">
      <alignment horizontal="center"/>
    </xf>
    <xf numFmtId="2" fontId="2" fillId="0" borderId="1" xfId="0" applyNumberFormat="1" applyFont="1" applyBorder="1"/>
    <xf numFmtId="1" fontId="12" fillId="2" borderId="3" xfId="0" applyNumberFormat="1" applyFont="1" applyFill="1" applyBorder="1" applyAlignment="1">
      <alignment horizontal="center"/>
    </xf>
    <xf numFmtId="1" fontId="29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1" fontId="17" fillId="0" borderId="0" xfId="0" applyNumberFormat="1" applyFont="1" applyAlignment="1">
      <alignment horizontal="center"/>
    </xf>
    <xf numFmtId="1" fontId="30" fillId="0" borderId="3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2" fillId="14" borderId="3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34" fillId="0" borderId="8" xfId="0" applyFont="1" applyBorder="1" applyAlignment="1">
      <alignment horizontal="center" wrapText="1"/>
    </xf>
    <xf numFmtId="1" fontId="34" fillId="0" borderId="8" xfId="0" applyNumberFormat="1" applyFont="1" applyBorder="1" applyAlignment="1">
      <alignment horizontal="center" wrapText="1"/>
    </xf>
    <xf numFmtId="2" fontId="34" fillId="0" borderId="8" xfId="0" applyNumberFormat="1" applyFont="1" applyBorder="1" applyAlignment="1">
      <alignment horizontal="center" wrapText="1"/>
    </xf>
    <xf numFmtId="0" fontId="2" fillId="0" borderId="12" xfId="0" applyFont="1" applyBorder="1"/>
    <xf numFmtId="0" fontId="23" fillId="12" borderId="1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0" fontId="34" fillId="11" borderId="8" xfId="0" applyFont="1" applyFill="1" applyBorder="1" applyAlignment="1">
      <alignment horizontal="center" wrapText="1"/>
    </xf>
    <xf numFmtId="0" fontId="34" fillId="11" borderId="14" xfId="0" applyFont="1" applyFill="1" applyBorder="1" applyAlignment="1">
      <alignment horizontal="center" wrapText="1"/>
    </xf>
    <xf numFmtId="0" fontId="23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8" fillId="0" borderId="1" xfId="0" applyFont="1" applyBorder="1"/>
    <xf numFmtId="0" fontId="23" fillId="8" borderId="7" xfId="0" applyFont="1" applyFill="1" applyBorder="1" applyAlignment="1">
      <alignment horizontal="center" wrapText="1"/>
    </xf>
    <xf numFmtId="0" fontId="8" fillId="0" borderId="8" xfId="0" applyFont="1" applyBorder="1"/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2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1" fillId="2" borderId="9" xfId="0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4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004"/>
  <sheetViews>
    <sheetView topLeftCell="A67" workbookViewId="0">
      <selection activeCell="E82" sqref="E82"/>
    </sheetView>
  </sheetViews>
  <sheetFormatPr defaultColWidth="12.6640625" defaultRowHeight="15.75" customHeight="1"/>
  <cols>
    <col min="1" max="1" width="5.109375" customWidth="1"/>
    <col min="2" max="2" width="14.33203125" customWidth="1"/>
    <col min="3" max="3" width="44.109375" customWidth="1"/>
    <col min="4" max="4" width="12.6640625" hidden="1"/>
    <col min="5" max="5" width="7.6640625" customWidth="1"/>
    <col min="6" max="6" width="8.88671875" customWidth="1"/>
    <col min="7" max="7" width="9" customWidth="1"/>
    <col min="8" max="8" width="8.33203125" customWidth="1"/>
    <col min="9" max="9" width="10.88671875" customWidth="1"/>
    <col min="10" max="10" width="9" customWidth="1"/>
    <col min="11" max="11" width="8.21875" customWidth="1"/>
    <col min="12" max="13" width="12.6640625" hidden="1"/>
    <col min="14" max="14" width="7.77734375" customWidth="1"/>
  </cols>
  <sheetData>
    <row r="1" spans="1:16" ht="2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"/>
      <c r="N1" s="1"/>
    </row>
    <row r="2" spans="1:16" ht="15">
      <c r="A2" s="105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"/>
      <c r="N2" s="1"/>
    </row>
    <row r="3" spans="1:16" ht="17.399999999999999">
      <c r="A3" s="106" t="s">
        <v>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"/>
      <c r="N3" s="1"/>
    </row>
    <row r="4" spans="1:16" ht="17.399999999999999">
      <c r="A4" s="107" t="s">
        <v>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2"/>
      <c r="M4" s="1"/>
      <c r="N4" s="1"/>
    </row>
    <row r="5" spans="1:16" ht="15.6">
      <c r="A5" s="108" t="s">
        <v>4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"/>
      <c r="M5" s="1"/>
      <c r="N5" s="1"/>
    </row>
    <row r="6" spans="1:16" ht="21">
      <c r="A6" s="109" t="s">
        <v>5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"/>
      <c r="N6" s="1"/>
    </row>
    <row r="7" spans="1:16" ht="41.4">
      <c r="A7" s="3" t="s">
        <v>6</v>
      </c>
      <c r="B7" s="4" t="s">
        <v>7</v>
      </c>
      <c r="C7" s="4" t="s">
        <v>8</v>
      </c>
      <c r="D7" s="5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7" t="s">
        <v>15</v>
      </c>
      <c r="K7" s="6" t="s">
        <v>16</v>
      </c>
      <c r="L7" s="8"/>
      <c r="M7" s="9" t="s">
        <v>17</v>
      </c>
      <c r="N7" s="10" t="s">
        <v>18</v>
      </c>
    </row>
    <row r="8" spans="1:16" ht="15.6">
      <c r="A8" s="11">
        <v>1</v>
      </c>
      <c r="B8" s="12">
        <v>111625201001</v>
      </c>
      <c r="C8" s="13" t="s">
        <v>19</v>
      </c>
      <c r="D8" s="14"/>
      <c r="E8" s="15" t="s">
        <v>20</v>
      </c>
      <c r="F8" s="16" t="s">
        <v>20</v>
      </c>
      <c r="G8" s="17">
        <v>63</v>
      </c>
      <c r="H8" s="18">
        <v>30</v>
      </c>
      <c r="I8" s="19">
        <v>80</v>
      </c>
      <c r="J8" s="20">
        <f t="shared" ref="J8:J69" si="0">SUM(E8:I8)/5</f>
        <v>34.6</v>
      </c>
      <c r="K8" s="21">
        <f t="shared" ref="K8:K69" si="1">((COUNTIF((E8:I8),"&lt;50"))+(COUNTIF((E8:I8),"=A")))</f>
        <v>3</v>
      </c>
      <c r="L8" s="22" t="str">
        <f t="shared" ref="L8:L24" si="2">IF((K8&lt;1),"0","1")</f>
        <v>1</v>
      </c>
      <c r="M8" s="23">
        <f t="shared" ref="M8:M24" si="3">COUNTIF((E8:I8),"=A")</f>
        <v>2</v>
      </c>
      <c r="N8" s="24">
        <v>91</v>
      </c>
      <c r="P8" s="25"/>
    </row>
    <row r="9" spans="1:16" ht="15.6">
      <c r="A9" s="11">
        <v>2</v>
      </c>
      <c r="B9" s="12">
        <v>111625201002</v>
      </c>
      <c r="C9" s="13" t="s">
        <v>21</v>
      </c>
      <c r="D9" s="14"/>
      <c r="E9" s="15">
        <v>67</v>
      </c>
      <c r="F9" s="16">
        <v>53.333333333333336</v>
      </c>
      <c r="G9" s="17">
        <v>53</v>
      </c>
      <c r="H9" s="18">
        <v>60</v>
      </c>
      <c r="I9" s="19">
        <v>63</v>
      </c>
      <c r="J9" s="20">
        <f t="shared" si="0"/>
        <v>59.266666666666673</v>
      </c>
      <c r="K9" s="21">
        <f t="shared" si="1"/>
        <v>0</v>
      </c>
      <c r="L9" s="22" t="str">
        <f t="shared" si="2"/>
        <v>0</v>
      </c>
      <c r="M9" s="23">
        <f t="shared" si="3"/>
        <v>0</v>
      </c>
      <c r="N9" s="24">
        <v>100</v>
      </c>
      <c r="P9" s="25"/>
    </row>
    <row r="10" spans="1:16" ht="15.6">
      <c r="A10" s="11">
        <v>3</v>
      </c>
      <c r="B10" s="12">
        <v>111625201003</v>
      </c>
      <c r="C10" s="13" t="s">
        <v>22</v>
      </c>
      <c r="D10" s="14"/>
      <c r="E10" s="15">
        <v>50</v>
      </c>
      <c r="F10" s="16">
        <v>50</v>
      </c>
      <c r="G10" s="17">
        <v>20</v>
      </c>
      <c r="H10" s="18">
        <v>30</v>
      </c>
      <c r="I10" s="19">
        <v>13</v>
      </c>
      <c r="J10" s="20">
        <f t="shared" si="0"/>
        <v>32.6</v>
      </c>
      <c r="K10" s="21">
        <f t="shared" si="1"/>
        <v>3</v>
      </c>
      <c r="L10" s="22" t="str">
        <f t="shared" si="2"/>
        <v>1</v>
      </c>
      <c r="M10" s="23">
        <f t="shared" si="3"/>
        <v>0</v>
      </c>
      <c r="N10" s="24">
        <v>100</v>
      </c>
      <c r="P10" s="25"/>
    </row>
    <row r="11" spans="1:16" ht="15.6">
      <c r="A11" s="11">
        <v>4</v>
      </c>
      <c r="B11" s="12">
        <v>111625201004</v>
      </c>
      <c r="C11" s="13" t="s">
        <v>23</v>
      </c>
      <c r="D11" s="14"/>
      <c r="E11" s="15">
        <v>53</v>
      </c>
      <c r="F11" s="16">
        <v>73.333333333333329</v>
      </c>
      <c r="G11" s="17">
        <v>63</v>
      </c>
      <c r="H11" s="18">
        <v>73</v>
      </c>
      <c r="I11" s="19">
        <v>67</v>
      </c>
      <c r="J11" s="20">
        <f t="shared" si="0"/>
        <v>65.86666666666666</v>
      </c>
      <c r="K11" s="21">
        <f t="shared" si="1"/>
        <v>0</v>
      </c>
      <c r="L11" s="22" t="str">
        <f t="shared" si="2"/>
        <v>0</v>
      </c>
      <c r="M11" s="23">
        <f t="shared" si="3"/>
        <v>0</v>
      </c>
      <c r="N11" s="24">
        <v>98</v>
      </c>
      <c r="P11" s="25"/>
    </row>
    <row r="12" spans="1:16" ht="15.6">
      <c r="A12" s="11">
        <v>5</v>
      </c>
      <c r="B12" s="12">
        <v>111625201005</v>
      </c>
      <c r="C12" s="13" t="s">
        <v>24</v>
      </c>
      <c r="D12" s="14"/>
      <c r="E12" s="15">
        <v>67</v>
      </c>
      <c r="F12" s="16">
        <v>70</v>
      </c>
      <c r="G12" s="17">
        <v>80</v>
      </c>
      <c r="H12" s="18">
        <v>77</v>
      </c>
      <c r="I12" s="19">
        <v>80</v>
      </c>
      <c r="J12" s="20">
        <f t="shared" si="0"/>
        <v>74.8</v>
      </c>
      <c r="K12" s="21">
        <f t="shared" si="1"/>
        <v>0</v>
      </c>
      <c r="L12" s="22" t="str">
        <f t="shared" si="2"/>
        <v>0</v>
      </c>
      <c r="M12" s="23">
        <f t="shared" si="3"/>
        <v>0</v>
      </c>
      <c r="N12" s="24">
        <v>98</v>
      </c>
      <c r="P12" s="25"/>
    </row>
    <row r="13" spans="1:16" ht="15.6">
      <c r="A13" s="11">
        <v>6</v>
      </c>
      <c r="B13" s="12">
        <v>111625201006</v>
      </c>
      <c r="C13" s="13" t="s">
        <v>25</v>
      </c>
      <c r="D13" s="14"/>
      <c r="E13" s="15">
        <v>53</v>
      </c>
      <c r="F13" s="16">
        <v>93.333333333333329</v>
      </c>
      <c r="G13" s="17">
        <v>77</v>
      </c>
      <c r="H13" s="18">
        <v>53</v>
      </c>
      <c r="I13" s="19">
        <v>90</v>
      </c>
      <c r="J13" s="20">
        <f t="shared" si="0"/>
        <v>73.266666666666666</v>
      </c>
      <c r="K13" s="21">
        <f t="shared" si="1"/>
        <v>0</v>
      </c>
      <c r="L13" s="22" t="str">
        <f t="shared" si="2"/>
        <v>0</v>
      </c>
      <c r="M13" s="23">
        <f t="shared" si="3"/>
        <v>0</v>
      </c>
      <c r="N13" s="24">
        <v>100</v>
      </c>
      <c r="P13" s="25"/>
    </row>
    <row r="14" spans="1:16" ht="15.6">
      <c r="A14" s="11">
        <v>7</v>
      </c>
      <c r="B14" s="12">
        <v>111625201007</v>
      </c>
      <c r="C14" s="13" t="s">
        <v>26</v>
      </c>
      <c r="D14" s="14"/>
      <c r="E14" s="15">
        <v>77</v>
      </c>
      <c r="F14" s="16">
        <v>50</v>
      </c>
      <c r="G14" s="17">
        <v>63</v>
      </c>
      <c r="H14" s="18">
        <v>30</v>
      </c>
      <c r="I14" s="19">
        <v>50</v>
      </c>
      <c r="J14" s="20">
        <f t="shared" si="0"/>
        <v>54</v>
      </c>
      <c r="K14" s="21">
        <f t="shared" si="1"/>
        <v>1</v>
      </c>
      <c r="L14" s="22" t="str">
        <f t="shared" si="2"/>
        <v>1</v>
      </c>
      <c r="M14" s="23">
        <f t="shared" si="3"/>
        <v>0</v>
      </c>
      <c r="N14" s="24">
        <v>96</v>
      </c>
      <c r="P14" s="25"/>
    </row>
    <row r="15" spans="1:16" ht="15.6">
      <c r="A15" s="11">
        <v>8</v>
      </c>
      <c r="B15" s="12">
        <v>111625201008</v>
      </c>
      <c r="C15" s="13" t="s">
        <v>27</v>
      </c>
      <c r="D15" s="14"/>
      <c r="E15" s="15">
        <v>50</v>
      </c>
      <c r="F15" s="16">
        <v>36.666666666666664</v>
      </c>
      <c r="G15" s="17">
        <v>63</v>
      </c>
      <c r="H15" s="18">
        <v>17</v>
      </c>
      <c r="I15" s="19">
        <v>57</v>
      </c>
      <c r="J15" s="20">
        <f t="shared" si="0"/>
        <v>44.733333333333334</v>
      </c>
      <c r="K15" s="21">
        <f t="shared" si="1"/>
        <v>2</v>
      </c>
      <c r="L15" s="22" t="str">
        <f t="shared" si="2"/>
        <v>1</v>
      </c>
      <c r="M15" s="23">
        <f t="shared" si="3"/>
        <v>0</v>
      </c>
      <c r="N15" s="24">
        <v>96</v>
      </c>
      <c r="P15" s="25"/>
    </row>
    <row r="16" spans="1:16" ht="15.6">
      <c r="A16" s="11">
        <v>9</v>
      </c>
      <c r="B16" s="12">
        <v>111625201009</v>
      </c>
      <c r="C16" s="13" t="s">
        <v>28</v>
      </c>
      <c r="D16" s="14"/>
      <c r="E16" s="15">
        <v>77</v>
      </c>
      <c r="F16" s="16">
        <v>86.666666666666671</v>
      </c>
      <c r="G16" s="17">
        <v>67</v>
      </c>
      <c r="H16" s="18">
        <v>77</v>
      </c>
      <c r="I16" s="19">
        <v>93</v>
      </c>
      <c r="J16" s="20">
        <f t="shared" si="0"/>
        <v>80.13333333333334</v>
      </c>
      <c r="K16" s="21">
        <f t="shared" si="1"/>
        <v>0</v>
      </c>
      <c r="L16" s="22" t="str">
        <f t="shared" si="2"/>
        <v>0</v>
      </c>
      <c r="M16" s="23">
        <f t="shared" si="3"/>
        <v>0</v>
      </c>
      <c r="N16" s="24">
        <v>98</v>
      </c>
      <c r="P16" s="25"/>
    </row>
    <row r="17" spans="1:16" ht="15.6">
      <c r="A17" s="11">
        <v>10</v>
      </c>
      <c r="B17" s="12">
        <v>111625201010</v>
      </c>
      <c r="C17" s="13" t="s">
        <v>29</v>
      </c>
      <c r="D17" s="14"/>
      <c r="E17" s="15">
        <v>60</v>
      </c>
      <c r="F17" s="16">
        <v>66.666666666666657</v>
      </c>
      <c r="G17" s="17">
        <v>67</v>
      </c>
      <c r="H17" s="26">
        <v>51</v>
      </c>
      <c r="I17" s="19">
        <v>87</v>
      </c>
      <c r="J17" s="20">
        <f t="shared" si="0"/>
        <v>66.333333333333329</v>
      </c>
      <c r="K17" s="21">
        <f t="shared" si="1"/>
        <v>0</v>
      </c>
      <c r="L17" s="22" t="str">
        <f t="shared" si="2"/>
        <v>0</v>
      </c>
      <c r="M17" s="23">
        <f t="shared" si="3"/>
        <v>0</v>
      </c>
      <c r="N17" s="24">
        <v>96</v>
      </c>
      <c r="P17" s="25"/>
    </row>
    <row r="18" spans="1:16" ht="15.6">
      <c r="A18" s="11">
        <v>11</v>
      </c>
      <c r="B18" s="12">
        <v>111625201011</v>
      </c>
      <c r="C18" s="13" t="s">
        <v>30</v>
      </c>
      <c r="D18" s="14"/>
      <c r="E18" s="15">
        <v>80</v>
      </c>
      <c r="F18" s="16">
        <v>70</v>
      </c>
      <c r="G18" s="17">
        <v>20</v>
      </c>
      <c r="H18" s="18">
        <v>60</v>
      </c>
      <c r="I18" s="19">
        <v>43</v>
      </c>
      <c r="J18" s="20">
        <f t="shared" si="0"/>
        <v>54.6</v>
      </c>
      <c r="K18" s="21">
        <f t="shared" si="1"/>
        <v>2</v>
      </c>
      <c r="L18" s="22" t="str">
        <f t="shared" si="2"/>
        <v>1</v>
      </c>
      <c r="M18" s="23">
        <f t="shared" si="3"/>
        <v>0</v>
      </c>
      <c r="N18" s="24">
        <v>96</v>
      </c>
      <c r="P18" s="25"/>
    </row>
    <row r="19" spans="1:16" ht="15.6">
      <c r="A19" s="11">
        <v>12</v>
      </c>
      <c r="B19" s="12">
        <v>111625201012</v>
      </c>
      <c r="C19" s="13" t="s">
        <v>31</v>
      </c>
      <c r="D19" s="14"/>
      <c r="E19" s="15">
        <v>60</v>
      </c>
      <c r="F19" s="16">
        <v>50</v>
      </c>
      <c r="G19" s="17">
        <v>50</v>
      </c>
      <c r="H19" s="18">
        <v>30</v>
      </c>
      <c r="I19" s="19">
        <v>50</v>
      </c>
      <c r="J19" s="20">
        <f t="shared" si="0"/>
        <v>48</v>
      </c>
      <c r="K19" s="21">
        <f t="shared" si="1"/>
        <v>1</v>
      </c>
      <c r="L19" s="22" t="str">
        <f t="shared" si="2"/>
        <v>1</v>
      </c>
      <c r="M19" s="23">
        <f t="shared" si="3"/>
        <v>0</v>
      </c>
      <c r="N19" s="24">
        <v>96</v>
      </c>
      <c r="P19" s="25"/>
    </row>
    <row r="20" spans="1:16" ht="15.6">
      <c r="A20" s="11">
        <v>13</v>
      </c>
      <c r="B20" s="12">
        <v>111625201013</v>
      </c>
      <c r="C20" s="13" t="s">
        <v>32</v>
      </c>
      <c r="D20" s="14"/>
      <c r="E20" s="15">
        <v>7</v>
      </c>
      <c r="F20" s="16">
        <v>50</v>
      </c>
      <c r="G20" s="17">
        <v>50</v>
      </c>
      <c r="H20" s="18">
        <v>50</v>
      </c>
      <c r="I20" s="19">
        <v>40</v>
      </c>
      <c r="J20" s="20">
        <f t="shared" si="0"/>
        <v>39.4</v>
      </c>
      <c r="K20" s="21">
        <f t="shared" si="1"/>
        <v>2</v>
      </c>
      <c r="L20" s="22" t="str">
        <f t="shared" si="2"/>
        <v>1</v>
      </c>
      <c r="M20" s="23">
        <f t="shared" si="3"/>
        <v>0</v>
      </c>
      <c r="N20" s="24">
        <v>98</v>
      </c>
      <c r="P20" s="25"/>
    </row>
    <row r="21" spans="1:16" ht="15.6">
      <c r="A21" s="11">
        <v>14</v>
      </c>
      <c r="B21" s="12">
        <v>111625201014</v>
      </c>
      <c r="C21" s="13" t="s">
        <v>33</v>
      </c>
      <c r="D21" s="14"/>
      <c r="E21" s="15">
        <v>70</v>
      </c>
      <c r="F21" s="16">
        <v>96.666666666666671</v>
      </c>
      <c r="G21" s="17">
        <v>73</v>
      </c>
      <c r="H21" s="18">
        <v>77</v>
      </c>
      <c r="I21" s="19">
        <v>100</v>
      </c>
      <c r="J21" s="20">
        <f t="shared" si="0"/>
        <v>83.333333333333343</v>
      </c>
      <c r="K21" s="21">
        <f t="shared" si="1"/>
        <v>0</v>
      </c>
      <c r="L21" s="22" t="str">
        <f t="shared" si="2"/>
        <v>0</v>
      </c>
      <c r="M21" s="23">
        <f t="shared" si="3"/>
        <v>0</v>
      </c>
      <c r="N21" s="24">
        <v>89</v>
      </c>
      <c r="P21" s="25"/>
    </row>
    <row r="22" spans="1:16" ht="15.6">
      <c r="A22" s="11">
        <v>15</v>
      </c>
      <c r="B22" s="12">
        <v>111625201015</v>
      </c>
      <c r="C22" s="13" t="s">
        <v>34</v>
      </c>
      <c r="D22" s="14"/>
      <c r="E22" s="15">
        <v>60</v>
      </c>
      <c r="F22" s="16">
        <v>50</v>
      </c>
      <c r="G22" s="17">
        <v>57</v>
      </c>
      <c r="H22" s="18">
        <v>50</v>
      </c>
      <c r="I22" s="19">
        <v>67</v>
      </c>
      <c r="J22" s="20">
        <f t="shared" si="0"/>
        <v>56.8</v>
      </c>
      <c r="K22" s="21">
        <f t="shared" si="1"/>
        <v>0</v>
      </c>
      <c r="L22" s="22" t="str">
        <f t="shared" si="2"/>
        <v>0</v>
      </c>
      <c r="M22" s="23">
        <f t="shared" si="3"/>
        <v>0</v>
      </c>
      <c r="N22" s="24">
        <v>98</v>
      </c>
      <c r="P22" s="25"/>
    </row>
    <row r="23" spans="1:16" ht="15.6">
      <c r="A23" s="11">
        <v>16</v>
      </c>
      <c r="B23" s="12">
        <v>111625201016</v>
      </c>
      <c r="C23" s="13" t="s">
        <v>35</v>
      </c>
      <c r="D23" s="14"/>
      <c r="E23" s="15">
        <v>57</v>
      </c>
      <c r="F23" s="16">
        <v>16.666666666666664</v>
      </c>
      <c r="G23" s="17">
        <v>60</v>
      </c>
      <c r="H23" s="18">
        <v>37</v>
      </c>
      <c r="I23" s="19">
        <v>53</v>
      </c>
      <c r="J23" s="20">
        <f t="shared" si="0"/>
        <v>44.733333333333334</v>
      </c>
      <c r="K23" s="21">
        <f t="shared" si="1"/>
        <v>2</v>
      </c>
      <c r="L23" s="22" t="str">
        <f t="shared" si="2"/>
        <v>1</v>
      </c>
      <c r="M23" s="23">
        <f t="shared" si="3"/>
        <v>0</v>
      </c>
      <c r="N23" s="24">
        <v>98</v>
      </c>
      <c r="P23" s="25"/>
    </row>
    <row r="24" spans="1:16" ht="15.6">
      <c r="A24" s="11">
        <v>17</v>
      </c>
      <c r="B24" s="12">
        <v>111625201017</v>
      </c>
      <c r="C24" s="13" t="s">
        <v>36</v>
      </c>
      <c r="D24" s="14"/>
      <c r="E24" s="15">
        <v>20</v>
      </c>
      <c r="F24" s="16">
        <v>33.333333333333329</v>
      </c>
      <c r="G24" s="17">
        <v>17</v>
      </c>
      <c r="H24" s="18">
        <v>23</v>
      </c>
      <c r="I24" s="19">
        <v>60</v>
      </c>
      <c r="J24" s="20">
        <f t="shared" si="0"/>
        <v>30.666666666666664</v>
      </c>
      <c r="K24" s="21">
        <f t="shared" si="1"/>
        <v>4</v>
      </c>
      <c r="L24" s="22" t="str">
        <f t="shared" si="2"/>
        <v>1</v>
      </c>
      <c r="M24" s="23">
        <f t="shared" si="3"/>
        <v>0</v>
      </c>
      <c r="N24" s="24">
        <v>100</v>
      </c>
      <c r="P24" s="25"/>
    </row>
    <row r="25" spans="1:16" ht="15.6">
      <c r="A25" s="11">
        <v>18</v>
      </c>
      <c r="B25" s="12">
        <v>111625201018</v>
      </c>
      <c r="C25" s="13" t="s">
        <v>37</v>
      </c>
      <c r="D25" s="14"/>
      <c r="E25" s="15">
        <v>67</v>
      </c>
      <c r="F25" s="16">
        <v>73.333333333333329</v>
      </c>
      <c r="G25" s="17">
        <v>83</v>
      </c>
      <c r="H25" s="18">
        <v>33</v>
      </c>
      <c r="I25" s="19">
        <v>50</v>
      </c>
      <c r="J25" s="20">
        <f t="shared" si="0"/>
        <v>61.266666666666666</v>
      </c>
      <c r="K25" s="21">
        <f t="shared" si="1"/>
        <v>1</v>
      </c>
      <c r="L25" s="22"/>
      <c r="M25" s="23"/>
      <c r="N25" s="24">
        <v>100</v>
      </c>
      <c r="P25" s="25"/>
    </row>
    <row r="26" spans="1:16" ht="15.6">
      <c r="A26" s="11">
        <v>19</v>
      </c>
      <c r="B26" s="12">
        <v>111625201019</v>
      </c>
      <c r="C26" s="13" t="s">
        <v>38</v>
      </c>
      <c r="D26" s="14"/>
      <c r="E26" s="15">
        <v>70</v>
      </c>
      <c r="F26" s="16">
        <v>50</v>
      </c>
      <c r="G26" s="17">
        <v>60</v>
      </c>
      <c r="H26" s="18">
        <v>30</v>
      </c>
      <c r="I26" s="19">
        <v>87</v>
      </c>
      <c r="J26" s="20">
        <f t="shared" si="0"/>
        <v>59.4</v>
      </c>
      <c r="K26" s="21">
        <f t="shared" si="1"/>
        <v>1</v>
      </c>
      <c r="L26" s="22"/>
      <c r="M26" s="23"/>
      <c r="N26" s="24">
        <v>100</v>
      </c>
      <c r="P26" s="25"/>
    </row>
    <row r="27" spans="1:16" ht="15.6">
      <c r="A27" s="11">
        <v>20</v>
      </c>
      <c r="B27" s="12">
        <v>111625201020</v>
      </c>
      <c r="C27" s="13" t="s">
        <v>39</v>
      </c>
      <c r="D27" s="14"/>
      <c r="E27" s="15">
        <v>73</v>
      </c>
      <c r="F27" s="16">
        <v>33.333333333333329</v>
      </c>
      <c r="G27" s="17">
        <v>57</v>
      </c>
      <c r="H27" s="18">
        <v>63</v>
      </c>
      <c r="I27" s="19">
        <v>87</v>
      </c>
      <c r="J27" s="20">
        <f t="shared" si="0"/>
        <v>62.666666666666664</v>
      </c>
      <c r="K27" s="21">
        <f t="shared" si="1"/>
        <v>1</v>
      </c>
      <c r="L27" s="22"/>
      <c r="M27" s="23"/>
      <c r="N27" s="24">
        <v>100</v>
      </c>
      <c r="P27" s="25"/>
    </row>
    <row r="28" spans="1:16" ht="15.6">
      <c r="A28" s="11">
        <v>21</v>
      </c>
      <c r="B28" s="12">
        <v>111625201021</v>
      </c>
      <c r="C28" s="13" t="s">
        <v>40</v>
      </c>
      <c r="D28" s="14"/>
      <c r="E28" s="15">
        <v>90</v>
      </c>
      <c r="F28" s="16">
        <v>83.333333333333343</v>
      </c>
      <c r="G28" s="17">
        <v>90</v>
      </c>
      <c r="H28" s="18">
        <v>80</v>
      </c>
      <c r="I28" s="19">
        <v>100</v>
      </c>
      <c r="J28" s="20">
        <f t="shared" si="0"/>
        <v>88.666666666666671</v>
      </c>
      <c r="K28" s="21">
        <f t="shared" si="1"/>
        <v>0</v>
      </c>
      <c r="L28" s="22"/>
      <c r="M28" s="23"/>
      <c r="N28" s="24">
        <v>96</v>
      </c>
      <c r="P28" s="25"/>
    </row>
    <row r="29" spans="1:16" ht="15.6">
      <c r="A29" s="11">
        <v>22</v>
      </c>
      <c r="B29" s="12">
        <v>111625201022</v>
      </c>
      <c r="C29" s="13" t="s">
        <v>41</v>
      </c>
      <c r="D29" s="14"/>
      <c r="E29" s="15">
        <v>87</v>
      </c>
      <c r="F29" s="16">
        <v>66.666666666666657</v>
      </c>
      <c r="G29" s="17">
        <v>70</v>
      </c>
      <c r="H29" s="18">
        <v>50</v>
      </c>
      <c r="I29" s="19">
        <v>97</v>
      </c>
      <c r="J29" s="20">
        <f t="shared" si="0"/>
        <v>74.133333333333326</v>
      </c>
      <c r="K29" s="21">
        <f t="shared" si="1"/>
        <v>0</v>
      </c>
      <c r="L29" s="22"/>
      <c r="M29" s="23"/>
      <c r="N29" s="24">
        <v>94</v>
      </c>
      <c r="P29" s="25"/>
    </row>
    <row r="30" spans="1:16" ht="15.6">
      <c r="A30" s="11">
        <v>23</v>
      </c>
      <c r="B30" s="12">
        <v>111625201023</v>
      </c>
      <c r="C30" s="13" t="s">
        <v>42</v>
      </c>
      <c r="D30" s="14"/>
      <c r="E30" s="15">
        <v>80</v>
      </c>
      <c r="F30" s="16">
        <v>86.666666666666671</v>
      </c>
      <c r="G30" s="17">
        <v>70</v>
      </c>
      <c r="H30" s="18">
        <v>70</v>
      </c>
      <c r="I30" s="19">
        <v>67</v>
      </c>
      <c r="J30" s="20">
        <f t="shared" si="0"/>
        <v>74.733333333333334</v>
      </c>
      <c r="K30" s="21">
        <f t="shared" si="1"/>
        <v>0</v>
      </c>
      <c r="L30" s="22"/>
      <c r="M30" s="23"/>
      <c r="N30" s="24">
        <v>98</v>
      </c>
      <c r="P30" s="25"/>
    </row>
    <row r="31" spans="1:16" ht="15.6">
      <c r="A31" s="11">
        <v>24</v>
      </c>
      <c r="B31" s="12">
        <v>111625201024</v>
      </c>
      <c r="C31" s="13" t="s">
        <v>43</v>
      </c>
      <c r="D31" s="14"/>
      <c r="E31" s="15">
        <v>60</v>
      </c>
      <c r="F31" s="16">
        <v>33.333333333333329</v>
      </c>
      <c r="G31" s="17">
        <v>40</v>
      </c>
      <c r="H31" s="18">
        <v>50</v>
      </c>
      <c r="I31" s="19">
        <v>63</v>
      </c>
      <c r="J31" s="20">
        <f t="shared" si="0"/>
        <v>49.266666666666666</v>
      </c>
      <c r="K31" s="21">
        <f t="shared" si="1"/>
        <v>2</v>
      </c>
      <c r="L31" s="22"/>
      <c r="M31" s="23"/>
      <c r="N31" s="24">
        <v>98</v>
      </c>
      <c r="P31" s="25"/>
    </row>
    <row r="32" spans="1:16" ht="15.6">
      <c r="A32" s="11">
        <v>25</v>
      </c>
      <c r="B32" s="12">
        <v>111625201025</v>
      </c>
      <c r="C32" s="13" t="s">
        <v>44</v>
      </c>
      <c r="D32" s="14"/>
      <c r="E32" s="15">
        <v>53</v>
      </c>
      <c r="F32" s="16">
        <v>53.333333333333336</v>
      </c>
      <c r="G32" s="17">
        <v>33</v>
      </c>
      <c r="H32" s="18">
        <v>7</v>
      </c>
      <c r="I32" s="19">
        <v>57</v>
      </c>
      <c r="J32" s="20">
        <f t="shared" si="0"/>
        <v>40.666666666666671</v>
      </c>
      <c r="K32" s="21">
        <f t="shared" si="1"/>
        <v>2</v>
      </c>
      <c r="L32" s="22"/>
      <c r="M32" s="23"/>
      <c r="N32" s="24">
        <v>100</v>
      </c>
      <c r="P32" s="25"/>
    </row>
    <row r="33" spans="1:16" ht="15.6">
      <c r="A33" s="11">
        <v>26</v>
      </c>
      <c r="B33" s="12">
        <v>111625201026</v>
      </c>
      <c r="C33" s="13" t="s">
        <v>45</v>
      </c>
      <c r="D33" s="14"/>
      <c r="E33" s="15">
        <v>87</v>
      </c>
      <c r="F33" s="16">
        <v>86.666666666666671</v>
      </c>
      <c r="G33" s="17">
        <v>63</v>
      </c>
      <c r="H33" s="18">
        <v>50</v>
      </c>
      <c r="I33" s="19">
        <v>87</v>
      </c>
      <c r="J33" s="20">
        <f t="shared" si="0"/>
        <v>74.733333333333334</v>
      </c>
      <c r="K33" s="21">
        <f t="shared" si="1"/>
        <v>0</v>
      </c>
      <c r="L33" s="22"/>
      <c r="M33" s="23"/>
      <c r="N33" s="24">
        <v>100</v>
      </c>
      <c r="P33" s="25"/>
    </row>
    <row r="34" spans="1:16" ht="15.6">
      <c r="A34" s="11">
        <v>27</v>
      </c>
      <c r="B34" s="12">
        <v>111625201027</v>
      </c>
      <c r="C34" s="13" t="s">
        <v>46</v>
      </c>
      <c r="D34" s="14"/>
      <c r="E34" s="15">
        <v>57</v>
      </c>
      <c r="F34" s="16">
        <v>20</v>
      </c>
      <c r="G34" s="17">
        <v>70</v>
      </c>
      <c r="H34" s="18">
        <v>30</v>
      </c>
      <c r="I34" s="19">
        <v>80</v>
      </c>
      <c r="J34" s="20">
        <f t="shared" si="0"/>
        <v>51.4</v>
      </c>
      <c r="K34" s="21">
        <f t="shared" si="1"/>
        <v>2</v>
      </c>
      <c r="L34" s="22"/>
      <c r="M34" s="23"/>
      <c r="N34" s="24">
        <v>87</v>
      </c>
      <c r="P34" s="25"/>
    </row>
    <row r="35" spans="1:16" ht="15.6">
      <c r="A35" s="11">
        <v>28</v>
      </c>
      <c r="B35" s="12">
        <v>111625201028</v>
      </c>
      <c r="C35" s="13" t="s">
        <v>47</v>
      </c>
      <c r="D35" s="14"/>
      <c r="E35" s="15">
        <v>80</v>
      </c>
      <c r="F35" s="16">
        <v>53.333333333333336</v>
      </c>
      <c r="G35" s="17">
        <v>57</v>
      </c>
      <c r="H35" s="18">
        <v>53</v>
      </c>
      <c r="I35" s="19">
        <v>93</v>
      </c>
      <c r="J35" s="20">
        <f t="shared" si="0"/>
        <v>67.26666666666668</v>
      </c>
      <c r="K35" s="21">
        <f t="shared" si="1"/>
        <v>0</v>
      </c>
      <c r="L35" s="22"/>
      <c r="M35" s="23"/>
      <c r="N35" s="24">
        <v>98</v>
      </c>
      <c r="P35" s="25"/>
    </row>
    <row r="36" spans="1:16" ht="15.6">
      <c r="A36" s="11">
        <v>29</v>
      </c>
      <c r="B36" s="12">
        <v>111625201029</v>
      </c>
      <c r="C36" s="13" t="s">
        <v>48</v>
      </c>
      <c r="D36" s="14"/>
      <c r="E36" s="15">
        <v>73</v>
      </c>
      <c r="F36" s="16">
        <v>73.333333333333329</v>
      </c>
      <c r="G36" s="17">
        <v>70</v>
      </c>
      <c r="H36" s="18">
        <v>63</v>
      </c>
      <c r="I36" s="19">
        <v>80</v>
      </c>
      <c r="J36" s="20">
        <f t="shared" si="0"/>
        <v>71.86666666666666</v>
      </c>
      <c r="K36" s="21">
        <f t="shared" si="1"/>
        <v>0</v>
      </c>
      <c r="L36" s="22"/>
      <c r="M36" s="23"/>
      <c r="N36" s="24">
        <v>100</v>
      </c>
      <c r="P36" s="25"/>
    </row>
    <row r="37" spans="1:16" ht="15.6">
      <c r="A37" s="11">
        <v>30</v>
      </c>
      <c r="B37" s="12">
        <v>111625201030</v>
      </c>
      <c r="C37" s="13" t="s">
        <v>49</v>
      </c>
      <c r="D37" s="14"/>
      <c r="E37" s="15">
        <v>67</v>
      </c>
      <c r="F37" s="16">
        <v>53.333333333333336</v>
      </c>
      <c r="G37" s="17">
        <v>50</v>
      </c>
      <c r="H37" s="18">
        <v>53</v>
      </c>
      <c r="I37" s="19">
        <v>93</v>
      </c>
      <c r="J37" s="20">
        <f t="shared" si="0"/>
        <v>63.266666666666673</v>
      </c>
      <c r="K37" s="21">
        <f t="shared" si="1"/>
        <v>0</v>
      </c>
      <c r="L37" s="22"/>
      <c r="M37" s="23"/>
      <c r="N37" s="24">
        <v>100</v>
      </c>
      <c r="P37" s="25"/>
    </row>
    <row r="38" spans="1:16" ht="15.6">
      <c r="A38" s="11">
        <v>31</v>
      </c>
      <c r="B38" s="12">
        <v>111625201031</v>
      </c>
      <c r="C38" s="13" t="s">
        <v>50</v>
      </c>
      <c r="D38" s="14"/>
      <c r="E38" s="15">
        <v>50</v>
      </c>
      <c r="F38" s="16">
        <v>53.333333333333336</v>
      </c>
      <c r="G38" s="17">
        <v>33</v>
      </c>
      <c r="H38" s="18">
        <v>27</v>
      </c>
      <c r="I38" s="19">
        <v>83</v>
      </c>
      <c r="J38" s="20">
        <f t="shared" si="0"/>
        <v>49.266666666666666</v>
      </c>
      <c r="K38" s="21">
        <f t="shared" si="1"/>
        <v>2</v>
      </c>
      <c r="L38" s="22"/>
      <c r="M38" s="23"/>
      <c r="N38" s="24">
        <v>100</v>
      </c>
      <c r="P38" s="25"/>
    </row>
    <row r="39" spans="1:16" ht="15.6">
      <c r="A39" s="11">
        <v>32</v>
      </c>
      <c r="B39" s="12">
        <v>111625201032</v>
      </c>
      <c r="C39" s="13" t="s">
        <v>51</v>
      </c>
      <c r="D39" s="14"/>
      <c r="E39" s="15">
        <v>53</v>
      </c>
      <c r="F39" s="16">
        <v>83.333333333333343</v>
      </c>
      <c r="G39" s="17">
        <v>93</v>
      </c>
      <c r="H39" s="18">
        <v>77</v>
      </c>
      <c r="I39" s="19">
        <v>87</v>
      </c>
      <c r="J39" s="20">
        <f t="shared" si="0"/>
        <v>78.666666666666671</v>
      </c>
      <c r="K39" s="21">
        <f t="shared" si="1"/>
        <v>0</v>
      </c>
      <c r="L39" s="22"/>
      <c r="M39" s="23"/>
      <c r="N39" s="24">
        <v>98</v>
      </c>
      <c r="P39" s="25"/>
    </row>
    <row r="40" spans="1:16" ht="15.6">
      <c r="A40" s="11">
        <v>33</v>
      </c>
      <c r="B40" s="12">
        <v>111625201033</v>
      </c>
      <c r="C40" s="13" t="s">
        <v>52</v>
      </c>
      <c r="D40" s="14"/>
      <c r="E40" s="15">
        <v>67</v>
      </c>
      <c r="F40" s="16">
        <v>63.333333333333329</v>
      </c>
      <c r="G40" s="17">
        <v>80</v>
      </c>
      <c r="H40" s="18">
        <v>56</v>
      </c>
      <c r="I40" s="19">
        <v>87</v>
      </c>
      <c r="J40" s="20">
        <f t="shared" si="0"/>
        <v>70.666666666666657</v>
      </c>
      <c r="K40" s="21">
        <f t="shared" si="1"/>
        <v>0</v>
      </c>
      <c r="L40" s="22"/>
      <c r="M40" s="23"/>
      <c r="N40" s="24">
        <v>100</v>
      </c>
      <c r="P40" s="25"/>
    </row>
    <row r="41" spans="1:16" ht="15.6">
      <c r="A41" s="11">
        <v>34</v>
      </c>
      <c r="B41" s="12">
        <v>111625201034</v>
      </c>
      <c r="C41" s="13" t="s">
        <v>53</v>
      </c>
      <c r="D41" s="14"/>
      <c r="E41" s="15">
        <v>50</v>
      </c>
      <c r="F41" s="16">
        <v>50</v>
      </c>
      <c r="G41" s="17">
        <v>63</v>
      </c>
      <c r="H41" s="18">
        <v>27</v>
      </c>
      <c r="I41" s="19">
        <v>20</v>
      </c>
      <c r="J41" s="20">
        <f t="shared" si="0"/>
        <v>42</v>
      </c>
      <c r="K41" s="21">
        <f t="shared" si="1"/>
        <v>2</v>
      </c>
      <c r="L41" s="22"/>
      <c r="M41" s="23"/>
      <c r="N41" s="24">
        <v>100</v>
      </c>
      <c r="P41" s="25"/>
    </row>
    <row r="42" spans="1:16" ht="15.6">
      <c r="A42" s="11">
        <v>35</v>
      </c>
      <c r="B42" s="12">
        <v>111625201035</v>
      </c>
      <c r="C42" s="13" t="s">
        <v>53</v>
      </c>
      <c r="D42" s="14"/>
      <c r="E42" s="15">
        <v>77</v>
      </c>
      <c r="F42" s="16">
        <v>70</v>
      </c>
      <c r="G42" s="17">
        <v>67</v>
      </c>
      <c r="H42" s="18">
        <v>73</v>
      </c>
      <c r="I42" s="19">
        <v>87</v>
      </c>
      <c r="J42" s="20">
        <f t="shared" si="0"/>
        <v>74.8</v>
      </c>
      <c r="K42" s="21">
        <f t="shared" si="1"/>
        <v>0</v>
      </c>
      <c r="L42" s="22"/>
      <c r="M42" s="23"/>
      <c r="N42" s="24">
        <v>91</v>
      </c>
      <c r="P42" s="25"/>
    </row>
    <row r="43" spans="1:16" ht="15.6">
      <c r="A43" s="11">
        <v>36</v>
      </c>
      <c r="B43" s="12">
        <v>111625201036</v>
      </c>
      <c r="C43" s="13" t="s">
        <v>54</v>
      </c>
      <c r="D43" s="14"/>
      <c r="E43" s="15">
        <v>50</v>
      </c>
      <c r="F43" s="16">
        <v>73.333333333333329</v>
      </c>
      <c r="G43" s="17">
        <v>63</v>
      </c>
      <c r="H43" s="18">
        <v>34</v>
      </c>
      <c r="I43" s="19">
        <v>63</v>
      </c>
      <c r="J43" s="20">
        <f t="shared" si="0"/>
        <v>56.666666666666664</v>
      </c>
      <c r="K43" s="21">
        <f t="shared" si="1"/>
        <v>1</v>
      </c>
      <c r="L43" s="22"/>
      <c r="M43" s="23"/>
      <c r="N43" s="24">
        <v>100</v>
      </c>
      <c r="P43" s="25"/>
    </row>
    <row r="44" spans="1:16" ht="15.6">
      <c r="A44" s="11">
        <v>37</v>
      </c>
      <c r="B44" s="12">
        <v>111625201037</v>
      </c>
      <c r="C44" s="13" t="s">
        <v>55</v>
      </c>
      <c r="D44" s="14"/>
      <c r="E44" s="15">
        <v>87</v>
      </c>
      <c r="F44" s="16">
        <v>83.333333333333343</v>
      </c>
      <c r="G44" s="17">
        <v>70</v>
      </c>
      <c r="H44" s="18">
        <v>80</v>
      </c>
      <c r="I44" s="19">
        <v>50</v>
      </c>
      <c r="J44" s="20">
        <f t="shared" si="0"/>
        <v>74.066666666666677</v>
      </c>
      <c r="K44" s="21">
        <f t="shared" si="1"/>
        <v>0</v>
      </c>
      <c r="L44" s="22"/>
      <c r="M44" s="23"/>
      <c r="N44" s="24">
        <v>98</v>
      </c>
      <c r="P44" s="25"/>
    </row>
    <row r="45" spans="1:16" ht="15.6">
      <c r="A45" s="11">
        <v>38</v>
      </c>
      <c r="B45" s="12">
        <v>111625201038</v>
      </c>
      <c r="C45" s="13" t="s">
        <v>56</v>
      </c>
      <c r="D45" s="14"/>
      <c r="E45" s="15">
        <v>50</v>
      </c>
      <c r="F45" s="16">
        <v>60</v>
      </c>
      <c r="G45" s="17">
        <v>57</v>
      </c>
      <c r="H45" s="18">
        <v>33</v>
      </c>
      <c r="I45" s="19">
        <v>70</v>
      </c>
      <c r="J45" s="20">
        <f t="shared" si="0"/>
        <v>54</v>
      </c>
      <c r="K45" s="21">
        <f t="shared" si="1"/>
        <v>1</v>
      </c>
      <c r="L45" s="22"/>
      <c r="M45" s="23"/>
      <c r="N45" s="24">
        <v>100</v>
      </c>
      <c r="P45" s="25"/>
    </row>
    <row r="46" spans="1:16" ht="15.6">
      <c r="A46" s="11">
        <v>39</v>
      </c>
      <c r="B46" s="12">
        <v>111625201039</v>
      </c>
      <c r="C46" s="13" t="s">
        <v>57</v>
      </c>
      <c r="D46" s="14"/>
      <c r="E46" s="15">
        <v>97</v>
      </c>
      <c r="F46" s="16" t="s">
        <v>20</v>
      </c>
      <c r="G46" s="17">
        <v>90</v>
      </c>
      <c r="H46" s="18">
        <v>57</v>
      </c>
      <c r="I46" s="19">
        <v>60</v>
      </c>
      <c r="J46" s="20">
        <f t="shared" si="0"/>
        <v>60.8</v>
      </c>
      <c r="K46" s="21">
        <f t="shared" si="1"/>
        <v>1</v>
      </c>
      <c r="L46" s="22"/>
      <c r="M46" s="23"/>
      <c r="N46" s="24">
        <v>91</v>
      </c>
      <c r="P46" s="25"/>
    </row>
    <row r="47" spans="1:16" ht="15.6">
      <c r="A47" s="11">
        <v>40</v>
      </c>
      <c r="B47" s="12">
        <v>111625201040</v>
      </c>
      <c r="C47" s="13" t="s">
        <v>58</v>
      </c>
      <c r="D47" s="14"/>
      <c r="E47" s="15">
        <v>90</v>
      </c>
      <c r="F47" s="16">
        <v>90</v>
      </c>
      <c r="G47" s="17">
        <v>53</v>
      </c>
      <c r="H47" s="18">
        <v>84</v>
      </c>
      <c r="I47" s="19">
        <v>97</v>
      </c>
      <c r="J47" s="20">
        <f t="shared" si="0"/>
        <v>82.8</v>
      </c>
      <c r="K47" s="21">
        <f t="shared" si="1"/>
        <v>0</v>
      </c>
      <c r="L47" s="22"/>
      <c r="M47" s="23"/>
      <c r="N47" s="24">
        <v>100</v>
      </c>
      <c r="P47" s="25"/>
    </row>
    <row r="48" spans="1:16" ht="15.6">
      <c r="A48" s="11">
        <v>41</v>
      </c>
      <c r="B48" s="12">
        <v>111625201041</v>
      </c>
      <c r="C48" s="13" t="s">
        <v>59</v>
      </c>
      <c r="D48" s="14"/>
      <c r="E48" s="15">
        <v>33</v>
      </c>
      <c r="F48" s="16">
        <v>53.333333333333336</v>
      </c>
      <c r="G48" s="17">
        <v>50</v>
      </c>
      <c r="H48" s="18">
        <v>27</v>
      </c>
      <c r="I48" s="19">
        <v>80</v>
      </c>
      <c r="J48" s="20">
        <f t="shared" si="0"/>
        <v>48.666666666666671</v>
      </c>
      <c r="K48" s="21">
        <f t="shared" si="1"/>
        <v>2</v>
      </c>
      <c r="L48" s="22"/>
      <c r="M48" s="23"/>
      <c r="N48" s="24">
        <v>100</v>
      </c>
      <c r="P48" s="25"/>
    </row>
    <row r="49" spans="1:16" ht="15.6">
      <c r="A49" s="11">
        <v>42</v>
      </c>
      <c r="B49" s="12">
        <v>111625201042</v>
      </c>
      <c r="C49" s="13" t="s">
        <v>60</v>
      </c>
      <c r="D49" s="14"/>
      <c r="E49" s="15">
        <v>60</v>
      </c>
      <c r="F49" s="16">
        <v>66.666666666666657</v>
      </c>
      <c r="G49" s="17">
        <v>53</v>
      </c>
      <c r="H49" s="18">
        <v>9</v>
      </c>
      <c r="I49" s="19">
        <v>83</v>
      </c>
      <c r="J49" s="20">
        <f t="shared" si="0"/>
        <v>54.333333333333329</v>
      </c>
      <c r="K49" s="21">
        <f t="shared" si="1"/>
        <v>1</v>
      </c>
      <c r="L49" s="22" t="str">
        <f t="shared" ref="L49:L69" si="4">IF((K49&lt;1),"0","1")</f>
        <v>1</v>
      </c>
      <c r="M49" s="23">
        <f t="shared" ref="M49:M69" si="5">COUNTIF((E49:I49),"=A")</f>
        <v>0</v>
      </c>
      <c r="N49" s="24">
        <v>100</v>
      </c>
      <c r="P49" s="25"/>
    </row>
    <row r="50" spans="1:16" ht="15.6">
      <c r="A50" s="11">
        <v>43</v>
      </c>
      <c r="B50" s="12">
        <v>111625201043</v>
      </c>
      <c r="C50" s="13" t="s">
        <v>61</v>
      </c>
      <c r="D50" s="14"/>
      <c r="E50" s="15">
        <v>73</v>
      </c>
      <c r="F50" s="16">
        <v>83.333333333333343</v>
      </c>
      <c r="G50" s="17">
        <v>53</v>
      </c>
      <c r="H50" s="18">
        <v>52</v>
      </c>
      <c r="I50" s="19">
        <v>80</v>
      </c>
      <c r="J50" s="20">
        <f t="shared" si="0"/>
        <v>68.26666666666668</v>
      </c>
      <c r="K50" s="21">
        <f t="shared" si="1"/>
        <v>0</v>
      </c>
      <c r="L50" s="22" t="str">
        <f t="shared" si="4"/>
        <v>0</v>
      </c>
      <c r="M50" s="23">
        <f t="shared" si="5"/>
        <v>0</v>
      </c>
      <c r="N50" s="24">
        <v>98</v>
      </c>
      <c r="P50" s="25"/>
    </row>
    <row r="51" spans="1:16" ht="15.6">
      <c r="A51" s="11">
        <v>44</v>
      </c>
      <c r="B51" s="12">
        <v>111625201044</v>
      </c>
      <c r="C51" s="13" t="s">
        <v>62</v>
      </c>
      <c r="D51" s="14"/>
      <c r="E51" s="19">
        <v>13</v>
      </c>
      <c r="F51" s="16">
        <v>33.333333333333329</v>
      </c>
      <c r="G51" s="17" t="s">
        <v>20</v>
      </c>
      <c r="H51" s="18">
        <v>50</v>
      </c>
      <c r="I51" s="19">
        <v>63</v>
      </c>
      <c r="J51" s="20">
        <f t="shared" si="0"/>
        <v>31.866666666666664</v>
      </c>
      <c r="K51" s="21">
        <f t="shared" si="1"/>
        <v>3</v>
      </c>
      <c r="L51" s="22" t="str">
        <f t="shared" si="4"/>
        <v>1</v>
      </c>
      <c r="M51" s="23">
        <f t="shared" si="5"/>
        <v>1</v>
      </c>
      <c r="N51" s="24">
        <v>87</v>
      </c>
      <c r="P51" s="25"/>
    </row>
    <row r="52" spans="1:16" ht="15.6">
      <c r="A52" s="11">
        <v>45</v>
      </c>
      <c r="B52" s="12">
        <v>111625201045</v>
      </c>
      <c r="C52" s="13" t="s">
        <v>63</v>
      </c>
      <c r="D52" s="14"/>
      <c r="E52" s="15">
        <v>53</v>
      </c>
      <c r="F52" s="16">
        <v>86.666666666666671</v>
      </c>
      <c r="G52" s="17">
        <v>87</v>
      </c>
      <c r="H52" s="18">
        <v>74</v>
      </c>
      <c r="I52" s="19">
        <v>93</v>
      </c>
      <c r="J52" s="20">
        <f t="shared" si="0"/>
        <v>78.733333333333334</v>
      </c>
      <c r="K52" s="21">
        <f t="shared" si="1"/>
        <v>0</v>
      </c>
      <c r="L52" s="22" t="str">
        <f t="shared" si="4"/>
        <v>0</v>
      </c>
      <c r="M52" s="23">
        <f t="shared" si="5"/>
        <v>0</v>
      </c>
      <c r="N52" s="24">
        <v>100</v>
      </c>
      <c r="P52" s="25"/>
    </row>
    <row r="53" spans="1:16" ht="15.6">
      <c r="A53" s="11">
        <v>46</v>
      </c>
      <c r="B53" s="12">
        <v>111625201046</v>
      </c>
      <c r="C53" s="13" t="s">
        <v>64</v>
      </c>
      <c r="D53" s="14"/>
      <c r="E53" s="15">
        <v>23</v>
      </c>
      <c r="F53" s="16">
        <v>16.666666666666664</v>
      </c>
      <c r="G53" s="17">
        <v>53</v>
      </c>
      <c r="H53" s="18">
        <v>33</v>
      </c>
      <c r="I53" s="19">
        <v>13</v>
      </c>
      <c r="J53" s="20">
        <f t="shared" si="0"/>
        <v>27.733333333333331</v>
      </c>
      <c r="K53" s="21">
        <f t="shared" si="1"/>
        <v>4</v>
      </c>
      <c r="L53" s="22" t="str">
        <f t="shared" si="4"/>
        <v>1</v>
      </c>
      <c r="M53" s="23">
        <f t="shared" si="5"/>
        <v>0</v>
      </c>
      <c r="N53" s="24">
        <v>98</v>
      </c>
      <c r="P53" s="25"/>
    </row>
    <row r="54" spans="1:16" ht="15.6">
      <c r="A54" s="11">
        <v>47</v>
      </c>
      <c r="B54" s="12">
        <v>111625201047</v>
      </c>
      <c r="C54" s="13" t="s">
        <v>65</v>
      </c>
      <c r="D54" s="14"/>
      <c r="E54" s="15">
        <v>13</v>
      </c>
      <c r="F54" s="16">
        <v>36.666666666666664</v>
      </c>
      <c r="G54" s="17">
        <v>73</v>
      </c>
      <c r="H54" s="18">
        <v>7</v>
      </c>
      <c r="I54" s="19">
        <v>37</v>
      </c>
      <c r="J54" s="20">
        <f t="shared" si="0"/>
        <v>33.333333333333329</v>
      </c>
      <c r="K54" s="21">
        <f t="shared" si="1"/>
        <v>4</v>
      </c>
      <c r="L54" s="22" t="str">
        <f t="shared" si="4"/>
        <v>1</v>
      </c>
      <c r="M54" s="23">
        <f t="shared" si="5"/>
        <v>0</v>
      </c>
      <c r="N54" s="24">
        <v>100</v>
      </c>
      <c r="P54" s="25"/>
    </row>
    <row r="55" spans="1:16" ht="15.6">
      <c r="A55" s="11">
        <v>48</v>
      </c>
      <c r="B55" s="12">
        <v>111625201048</v>
      </c>
      <c r="C55" s="13" t="s">
        <v>66</v>
      </c>
      <c r="D55" s="14"/>
      <c r="E55" s="15">
        <v>70</v>
      </c>
      <c r="F55" s="16">
        <v>90</v>
      </c>
      <c r="G55" s="17">
        <v>87</v>
      </c>
      <c r="H55" s="18">
        <v>90</v>
      </c>
      <c r="I55" s="19">
        <v>97</v>
      </c>
      <c r="J55" s="20">
        <f t="shared" si="0"/>
        <v>86.8</v>
      </c>
      <c r="K55" s="21">
        <f t="shared" si="1"/>
        <v>0</v>
      </c>
      <c r="L55" s="22" t="str">
        <f t="shared" si="4"/>
        <v>0</v>
      </c>
      <c r="M55" s="23">
        <f t="shared" si="5"/>
        <v>0</v>
      </c>
      <c r="N55" s="24">
        <v>98</v>
      </c>
      <c r="P55" s="25"/>
    </row>
    <row r="56" spans="1:16" ht="15.6">
      <c r="A56" s="11">
        <v>49</v>
      </c>
      <c r="B56" s="12">
        <v>111625201049</v>
      </c>
      <c r="C56" s="13" t="s">
        <v>67</v>
      </c>
      <c r="D56" s="14"/>
      <c r="E56" s="15">
        <v>67</v>
      </c>
      <c r="F56" s="16">
        <v>56.666666666666664</v>
      </c>
      <c r="G56" s="17">
        <v>37</v>
      </c>
      <c r="H56" s="18">
        <v>27</v>
      </c>
      <c r="I56" s="19">
        <v>7</v>
      </c>
      <c r="J56" s="20">
        <f t="shared" si="0"/>
        <v>38.93333333333333</v>
      </c>
      <c r="K56" s="21">
        <f t="shared" si="1"/>
        <v>3</v>
      </c>
      <c r="L56" s="22" t="str">
        <f t="shared" si="4"/>
        <v>1</v>
      </c>
      <c r="M56" s="23">
        <f t="shared" si="5"/>
        <v>0</v>
      </c>
      <c r="N56" s="24">
        <v>98</v>
      </c>
      <c r="P56" s="25"/>
    </row>
    <row r="57" spans="1:16" ht="15.6">
      <c r="A57" s="11">
        <v>50</v>
      </c>
      <c r="B57" s="12">
        <v>111625201050</v>
      </c>
      <c r="C57" s="13" t="s">
        <v>68</v>
      </c>
      <c r="D57" s="14"/>
      <c r="E57" s="15">
        <v>60</v>
      </c>
      <c r="F57" s="16">
        <v>80</v>
      </c>
      <c r="G57" s="17">
        <v>80</v>
      </c>
      <c r="H57" s="18">
        <v>27</v>
      </c>
      <c r="I57" s="19">
        <v>73</v>
      </c>
      <c r="J57" s="20">
        <f t="shared" si="0"/>
        <v>64</v>
      </c>
      <c r="K57" s="21">
        <f t="shared" si="1"/>
        <v>1</v>
      </c>
      <c r="L57" s="22" t="str">
        <f t="shared" si="4"/>
        <v>1</v>
      </c>
      <c r="M57" s="23">
        <f t="shared" si="5"/>
        <v>0</v>
      </c>
      <c r="N57" s="24">
        <v>100</v>
      </c>
      <c r="P57" s="25"/>
    </row>
    <row r="58" spans="1:16" ht="15.6">
      <c r="A58" s="11">
        <v>51</v>
      </c>
      <c r="B58" s="12">
        <v>111625201051</v>
      </c>
      <c r="C58" s="13" t="s">
        <v>69</v>
      </c>
      <c r="D58" s="14"/>
      <c r="E58" s="15">
        <v>33</v>
      </c>
      <c r="F58" s="16">
        <v>50</v>
      </c>
      <c r="G58" s="17">
        <v>43</v>
      </c>
      <c r="H58" s="18">
        <v>37</v>
      </c>
      <c r="I58" s="19">
        <v>57</v>
      </c>
      <c r="J58" s="20">
        <f t="shared" si="0"/>
        <v>44</v>
      </c>
      <c r="K58" s="21">
        <f t="shared" si="1"/>
        <v>3</v>
      </c>
      <c r="L58" s="22" t="str">
        <f t="shared" si="4"/>
        <v>1</v>
      </c>
      <c r="M58" s="23">
        <f t="shared" si="5"/>
        <v>0</v>
      </c>
      <c r="N58" s="24">
        <v>94</v>
      </c>
      <c r="P58" s="25"/>
    </row>
    <row r="59" spans="1:16" ht="15.6">
      <c r="A59" s="11">
        <v>52</v>
      </c>
      <c r="B59" s="12">
        <v>111625201052</v>
      </c>
      <c r="C59" s="13" t="s">
        <v>70</v>
      </c>
      <c r="D59" s="14"/>
      <c r="E59" s="15">
        <v>63</v>
      </c>
      <c r="F59" s="16">
        <v>53.333333333333336</v>
      </c>
      <c r="G59" s="17">
        <v>50</v>
      </c>
      <c r="H59" s="18">
        <v>50</v>
      </c>
      <c r="I59" s="19">
        <v>63</v>
      </c>
      <c r="J59" s="20">
        <f t="shared" si="0"/>
        <v>55.866666666666674</v>
      </c>
      <c r="K59" s="21">
        <f t="shared" si="1"/>
        <v>0</v>
      </c>
      <c r="L59" s="22" t="str">
        <f t="shared" si="4"/>
        <v>0</v>
      </c>
      <c r="M59" s="23">
        <f t="shared" si="5"/>
        <v>0</v>
      </c>
      <c r="N59" s="24">
        <v>94</v>
      </c>
      <c r="P59" s="25"/>
    </row>
    <row r="60" spans="1:16" ht="15.6">
      <c r="A60" s="11">
        <v>53</v>
      </c>
      <c r="B60" s="12">
        <v>111625201053</v>
      </c>
      <c r="C60" s="13" t="s">
        <v>71</v>
      </c>
      <c r="D60" s="14"/>
      <c r="E60" s="15">
        <v>57</v>
      </c>
      <c r="F60" s="16">
        <v>70</v>
      </c>
      <c r="G60" s="17">
        <v>77</v>
      </c>
      <c r="H60" s="18">
        <v>63</v>
      </c>
      <c r="I60" s="19">
        <v>73</v>
      </c>
      <c r="J60" s="20">
        <f t="shared" si="0"/>
        <v>68</v>
      </c>
      <c r="K60" s="21">
        <f t="shared" si="1"/>
        <v>0</v>
      </c>
      <c r="L60" s="22" t="str">
        <f t="shared" si="4"/>
        <v>0</v>
      </c>
      <c r="M60" s="23">
        <f t="shared" si="5"/>
        <v>0</v>
      </c>
      <c r="N60" s="24">
        <v>100</v>
      </c>
      <c r="P60" s="25"/>
    </row>
    <row r="61" spans="1:16" ht="15.6">
      <c r="A61" s="11">
        <v>54</v>
      </c>
      <c r="B61" s="12">
        <v>111625201054</v>
      </c>
      <c r="C61" s="13" t="s">
        <v>72</v>
      </c>
      <c r="D61" s="14"/>
      <c r="E61" s="15">
        <v>80</v>
      </c>
      <c r="F61" s="16">
        <v>83</v>
      </c>
      <c r="G61" s="17">
        <v>70</v>
      </c>
      <c r="H61" s="18">
        <v>50</v>
      </c>
      <c r="I61" s="19">
        <v>90</v>
      </c>
      <c r="J61" s="20">
        <f t="shared" si="0"/>
        <v>74.599999999999994</v>
      </c>
      <c r="K61" s="21">
        <f t="shared" si="1"/>
        <v>0</v>
      </c>
      <c r="L61" s="22" t="str">
        <f t="shared" si="4"/>
        <v>0</v>
      </c>
      <c r="M61" s="23">
        <f t="shared" si="5"/>
        <v>0</v>
      </c>
      <c r="N61" s="24">
        <v>100</v>
      </c>
      <c r="P61" s="25"/>
    </row>
    <row r="62" spans="1:16" ht="15.6">
      <c r="A62" s="11">
        <v>55</v>
      </c>
      <c r="B62" s="12">
        <v>111625201055</v>
      </c>
      <c r="C62" s="13" t="s">
        <v>73</v>
      </c>
      <c r="D62" s="14"/>
      <c r="E62" s="15">
        <v>80</v>
      </c>
      <c r="F62" s="16">
        <v>53.333333333333336</v>
      </c>
      <c r="G62" s="17">
        <v>73</v>
      </c>
      <c r="H62" s="18">
        <v>67</v>
      </c>
      <c r="I62" s="19">
        <v>67</v>
      </c>
      <c r="J62" s="20">
        <f t="shared" si="0"/>
        <v>68.066666666666677</v>
      </c>
      <c r="K62" s="21">
        <f t="shared" si="1"/>
        <v>0</v>
      </c>
      <c r="L62" s="22" t="str">
        <f t="shared" si="4"/>
        <v>0</v>
      </c>
      <c r="M62" s="23">
        <f t="shared" si="5"/>
        <v>0</v>
      </c>
      <c r="N62" s="24">
        <v>91</v>
      </c>
      <c r="P62" s="25"/>
    </row>
    <row r="63" spans="1:16" ht="15.6">
      <c r="A63" s="11">
        <v>56</v>
      </c>
      <c r="B63" s="12">
        <v>111625201056</v>
      </c>
      <c r="C63" s="13" t="s">
        <v>74</v>
      </c>
      <c r="D63" s="14"/>
      <c r="E63" s="15">
        <v>60</v>
      </c>
      <c r="F63" s="16">
        <v>80</v>
      </c>
      <c r="G63" s="17">
        <v>50</v>
      </c>
      <c r="H63" s="18">
        <v>80</v>
      </c>
      <c r="I63" s="19">
        <v>50</v>
      </c>
      <c r="J63" s="20">
        <f t="shared" si="0"/>
        <v>64</v>
      </c>
      <c r="K63" s="21">
        <f t="shared" si="1"/>
        <v>0</v>
      </c>
      <c r="L63" s="22" t="str">
        <f t="shared" si="4"/>
        <v>0</v>
      </c>
      <c r="M63" s="23">
        <f t="shared" si="5"/>
        <v>0</v>
      </c>
      <c r="N63" s="24">
        <v>98</v>
      </c>
      <c r="P63" s="25"/>
    </row>
    <row r="64" spans="1:16" ht="15.6">
      <c r="A64" s="11">
        <v>57</v>
      </c>
      <c r="B64" s="12">
        <v>111625201057</v>
      </c>
      <c r="C64" s="13" t="s">
        <v>75</v>
      </c>
      <c r="D64" s="14"/>
      <c r="E64" s="15">
        <v>73</v>
      </c>
      <c r="F64" s="16">
        <v>70</v>
      </c>
      <c r="G64" s="17">
        <v>67</v>
      </c>
      <c r="H64" s="18">
        <v>80</v>
      </c>
      <c r="I64" s="19">
        <v>73</v>
      </c>
      <c r="J64" s="20">
        <f t="shared" si="0"/>
        <v>72.599999999999994</v>
      </c>
      <c r="K64" s="21">
        <f t="shared" si="1"/>
        <v>0</v>
      </c>
      <c r="L64" s="22" t="str">
        <f t="shared" si="4"/>
        <v>0</v>
      </c>
      <c r="M64" s="23">
        <f t="shared" si="5"/>
        <v>0</v>
      </c>
      <c r="N64" s="24">
        <v>100</v>
      </c>
      <c r="P64" s="25"/>
    </row>
    <row r="65" spans="1:16" ht="15.6">
      <c r="A65" s="11">
        <v>58</v>
      </c>
      <c r="B65" s="12">
        <v>111625201058</v>
      </c>
      <c r="C65" s="13" t="s">
        <v>76</v>
      </c>
      <c r="D65" s="14"/>
      <c r="E65" s="15">
        <v>50</v>
      </c>
      <c r="F65" s="16">
        <v>63.333333333333329</v>
      </c>
      <c r="G65" s="17">
        <v>93</v>
      </c>
      <c r="H65" s="18">
        <v>67</v>
      </c>
      <c r="I65" s="19">
        <v>90</v>
      </c>
      <c r="J65" s="20">
        <f t="shared" si="0"/>
        <v>72.666666666666657</v>
      </c>
      <c r="K65" s="21">
        <f t="shared" si="1"/>
        <v>0</v>
      </c>
      <c r="L65" s="22" t="str">
        <f t="shared" si="4"/>
        <v>0</v>
      </c>
      <c r="M65" s="23">
        <f t="shared" si="5"/>
        <v>0</v>
      </c>
      <c r="N65" s="24">
        <v>98</v>
      </c>
      <c r="P65" s="25"/>
    </row>
    <row r="66" spans="1:16" ht="15.6">
      <c r="A66" s="11">
        <v>59</v>
      </c>
      <c r="B66" s="12">
        <v>111625201059</v>
      </c>
      <c r="C66" s="13" t="s">
        <v>77</v>
      </c>
      <c r="D66" s="14"/>
      <c r="E66" s="15">
        <v>67</v>
      </c>
      <c r="F66" s="16">
        <v>66.666666666666657</v>
      </c>
      <c r="G66" s="17">
        <v>27</v>
      </c>
      <c r="H66" s="27">
        <v>37</v>
      </c>
      <c r="I66" s="19">
        <v>53</v>
      </c>
      <c r="J66" s="20">
        <f t="shared" si="0"/>
        <v>50.133333333333333</v>
      </c>
      <c r="K66" s="21">
        <f t="shared" si="1"/>
        <v>2</v>
      </c>
      <c r="L66" s="22" t="str">
        <f t="shared" si="4"/>
        <v>1</v>
      </c>
      <c r="M66" s="23">
        <f t="shared" si="5"/>
        <v>0</v>
      </c>
      <c r="N66" s="24">
        <v>94</v>
      </c>
      <c r="P66" s="25"/>
    </row>
    <row r="67" spans="1:16" ht="15.6">
      <c r="A67" s="11">
        <v>60</v>
      </c>
      <c r="B67" s="12">
        <v>111625201060</v>
      </c>
      <c r="C67" s="13" t="s">
        <v>78</v>
      </c>
      <c r="D67" s="14"/>
      <c r="E67" s="15">
        <v>73</v>
      </c>
      <c r="F67" s="16">
        <v>80</v>
      </c>
      <c r="G67" s="17">
        <v>60</v>
      </c>
      <c r="H67" s="18">
        <v>90</v>
      </c>
      <c r="I67" s="19">
        <v>100</v>
      </c>
      <c r="J67" s="20">
        <f t="shared" si="0"/>
        <v>80.599999999999994</v>
      </c>
      <c r="K67" s="21">
        <f t="shared" si="1"/>
        <v>0</v>
      </c>
      <c r="L67" s="22" t="str">
        <f t="shared" si="4"/>
        <v>0</v>
      </c>
      <c r="M67" s="23">
        <f t="shared" si="5"/>
        <v>0</v>
      </c>
      <c r="N67" s="24">
        <v>100</v>
      </c>
      <c r="P67" s="25"/>
    </row>
    <row r="68" spans="1:16" ht="15.6">
      <c r="A68" s="11">
        <v>61</v>
      </c>
      <c r="B68" s="12">
        <v>111625201061</v>
      </c>
      <c r="C68" s="13" t="s">
        <v>79</v>
      </c>
      <c r="D68" s="14"/>
      <c r="E68" s="15">
        <v>67</v>
      </c>
      <c r="F68" s="16">
        <v>63.333333333333329</v>
      </c>
      <c r="G68" s="17">
        <v>67</v>
      </c>
      <c r="H68" s="18">
        <v>53</v>
      </c>
      <c r="I68" s="19">
        <v>70</v>
      </c>
      <c r="J68" s="20">
        <f t="shared" si="0"/>
        <v>64.066666666666663</v>
      </c>
      <c r="K68" s="21">
        <f t="shared" si="1"/>
        <v>0</v>
      </c>
      <c r="L68" s="22" t="str">
        <f t="shared" si="4"/>
        <v>0</v>
      </c>
      <c r="M68" s="23">
        <f t="shared" si="5"/>
        <v>0</v>
      </c>
      <c r="N68" s="24">
        <v>98</v>
      </c>
      <c r="P68" s="25"/>
    </row>
    <row r="69" spans="1:16" ht="15.6">
      <c r="A69" s="11">
        <v>62</v>
      </c>
      <c r="B69" s="12">
        <v>111625201062</v>
      </c>
      <c r="C69" s="13" t="s">
        <v>80</v>
      </c>
      <c r="D69" s="14"/>
      <c r="E69" s="15">
        <v>60</v>
      </c>
      <c r="F69" s="16">
        <v>60</v>
      </c>
      <c r="G69" s="17">
        <v>60</v>
      </c>
      <c r="H69" s="18">
        <v>27</v>
      </c>
      <c r="I69" s="19">
        <v>80</v>
      </c>
      <c r="J69" s="20">
        <f t="shared" si="0"/>
        <v>57.4</v>
      </c>
      <c r="K69" s="21">
        <f t="shared" si="1"/>
        <v>1</v>
      </c>
      <c r="L69" s="22" t="str">
        <f t="shared" si="4"/>
        <v>1</v>
      </c>
      <c r="M69" s="23">
        <f t="shared" si="5"/>
        <v>0</v>
      </c>
      <c r="N69" s="24">
        <v>96</v>
      </c>
      <c r="P69" s="25"/>
    </row>
    <row r="70" spans="1:16" ht="14.4">
      <c r="A70" s="22"/>
      <c r="B70" s="28"/>
      <c r="C70" s="29"/>
      <c r="D70" s="31"/>
      <c r="E70" s="30"/>
      <c r="F70" s="31"/>
      <c r="G70" s="32"/>
      <c r="H70" s="31"/>
      <c r="I70" s="31"/>
      <c r="J70" s="22"/>
      <c r="K70" s="33"/>
      <c r="L70" s="1"/>
      <c r="M70" s="1"/>
      <c r="N70" s="1"/>
    </row>
    <row r="71" spans="1:16" ht="15.6">
      <c r="A71" s="22"/>
      <c r="B71" s="34"/>
      <c r="C71" s="35" t="s">
        <v>81</v>
      </c>
      <c r="D71" s="36"/>
      <c r="E71" s="37">
        <f>COUNT(A8:A69)</f>
        <v>62</v>
      </c>
      <c r="F71" s="37">
        <f>COUNT(A8:A69)</f>
        <v>62</v>
      </c>
      <c r="G71" s="37">
        <f>COUNT(A8:A69)</f>
        <v>62</v>
      </c>
      <c r="H71" s="37">
        <f>COUNT(A8:A69)</f>
        <v>62</v>
      </c>
      <c r="I71" s="37">
        <f>COUNT(A8:A69)</f>
        <v>62</v>
      </c>
      <c r="J71" s="38"/>
      <c r="K71" s="33"/>
      <c r="L71" s="1"/>
      <c r="M71" s="1"/>
      <c r="N71" s="1"/>
    </row>
    <row r="72" spans="1:16" ht="15.6">
      <c r="A72" s="22"/>
      <c r="B72" s="34"/>
      <c r="C72" s="39" t="s">
        <v>82</v>
      </c>
      <c r="D72" s="40"/>
      <c r="E72" s="41">
        <f t="shared" ref="E72:I72" si="6">E71-E73</f>
        <v>61</v>
      </c>
      <c r="F72" s="41">
        <f t="shared" si="6"/>
        <v>60</v>
      </c>
      <c r="G72" s="41">
        <f t="shared" si="6"/>
        <v>61</v>
      </c>
      <c r="H72" s="41">
        <f t="shared" si="6"/>
        <v>62</v>
      </c>
      <c r="I72" s="41">
        <f t="shared" si="6"/>
        <v>62</v>
      </c>
      <c r="J72" s="38"/>
      <c r="K72" s="33"/>
      <c r="L72" s="1"/>
      <c r="M72" s="1"/>
      <c r="N72" s="1"/>
    </row>
    <row r="73" spans="1:16" ht="15.6">
      <c r="A73" s="22"/>
      <c r="B73" s="34"/>
      <c r="C73" s="42" t="s">
        <v>83</v>
      </c>
      <c r="D73" s="43"/>
      <c r="E73" s="44">
        <f t="shared" ref="E73:I73" si="7">(COUNTIF((E8:E69),"=A"))</f>
        <v>1</v>
      </c>
      <c r="F73" s="44">
        <f t="shared" si="7"/>
        <v>2</v>
      </c>
      <c r="G73" s="44">
        <f t="shared" si="7"/>
        <v>1</v>
      </c>
      <c r="H73" s="44">
        <f t="shared" si="7"/>
        <v>0</v>
      </c>
      <c r="I73" s="44">
        <f t="shared" si="7"/>
        <v>0</v>
      </c>
      <c r="J73" s="38"/>
      <c r="K73" s="33"/>
      <c r="L73" s="1"/>
      <c r="M73" s="1"/>
      <c r="N73" s="1"/>
    </row>
    <row r="74" spans="1:16" ht="15.6">
      <c r="A74" s="22"/>
      <c r="B74" s="34"/>
      <c r="C74" s="45" t="s">
        <v>84</v>
      </c>
      <c r="D74" s="46"/>
      <c r="E74" s="47">
        <f t="shared" ref="E74:I74" si="8">E71-(E75+E73)</f>
        <v>54</v>
      </c>
      <c r="F74" s="47">
        <f t="shared" si="8"/>
        <v>51</v>
      </c>
      <c r="G74" s="47">
        <f t="shared" si="8"/>
        <v>52</v>
      </c>
      <c r="H74" s="47">
        <f t="shared" si="8"/>
        <v>38</v>
      </c>
      <c r="I74" s="47">
        <f t="shared" si="8"/>
        <v>55</v>
      </c>
      <c r="J74" s="38"/>
      <c r="K74" s="33"/>
      <c r="L74" s="1"/>
      <c r="M74" s="1"/>
      <c r="N74" s="1"/>
    </row>
    <row r="75" spans="1:16" ht="15.6">
      <c r="A75" s="22"/>
      <c r="B75" s="48"/>
      <c r="C75" s="49" t="s">
        <v>85</v>
      </c>
      <c r="D75" s="50"/>
      <c r="E75" s="51">
        <f>(COUNTIF((E8:E69),"&lt;50"))</f>
        <v>7</v>
      </c>
      <c r="F75" s="51">
        <f t="shared" ref="F75:I75" si="9">COUNTIF((F8:F69),"&lt;50")</f>
        <v>9</v>
      </c>
      <c r="G75" s="51">
        <f t="shared" si="9"/>
        <v>9</v>
      </c>
      <c r="H75" s="51">
        <f t="shared" si="9"/>
        <v>24</v>
      </c>
      <c r="I75" s="51">
        <f t="shared" si="9"/>
        <v>7</v>
      </c>
      <c r="J75" s="38"/>
      <c r="K75" s="33"/>
      <c r="L75" s="1"/>
      <c r="M75" s="1"/>
      <c r="N75" s="1"/>
    </row>
    <row r="76" spans="1:16" ht="15.6">
      <c r="A76" s="22"/>
      <c r="B76" s="48"/>
      <c r="C76" s="52" t="s">
        <v>86</v>
      </c>
      <c r="D76" s="53"/>
      <c r="E76" s="54">
        <f t="shared" ref="E76:I76" si="10">(E74/E72)*100</f>
        <v>88.52459016393442</v>
      </c>
      <c r="F76" s="54">
        <f t="shared" si="10"/>
        <v>85</v>
      </c>
      <c r="G76" s="54">
        <f t="shared" si="10"/>
        <v>85.245901639344254</v>
      </c>
      <c r="H76" s="54">
        <f t="shared" si="10"/>
        <v>61.29032258064516</v>
      </c>
      <c r="I76" s="54">
        <f t="shared" si="10"/>
        <v>88.709677419354833</v>
      </c>
      <c r="J76" s="55"/>
      <c r="K76" s="33"/>
      <c r="L76" s="1"/>
      <c r="M76" s="1"/>
      <c r="N76" s="1"/>
    </row>
    <row r="77" spans="1:16" ht="15.6">
      <c r="A77" s="22"/>
      <c r="B77" s="48"/>
      <c r="C77" s="56" t="s">
        <v>87</v>
      </c>
      <c r="D77" s="57"/>
      <c r="E77" s="58">
        <f>COUNTIFS(K8:K69,"=1", E8:E69,"&lt;50")+COUNTIFS(K8:K69,"=1", E8:E69,"=A")</f>
        <v>0</v>
      </c>
      <c r="F77" s="58">
        <f>COUNTIFS(K8:K69,"=1", F8:F69,"&lt;50")+COUNTIFS(K8:K69,"=1", F8:F69,"=A")</f>
        <v>2</v>
      </c>
      <c r="G77" s="58">
        <f>COUNTIFS(K8:K69,"=1", G8:G69,"&lt;50")+COUNTIFS(K8:K69,"=1", G8:G69,"=A")</f>
        <v>0</v>
      </c>
      <c r="H77" s="58">
        <f>COUNTIFS(K8:K69,"=1", H8:H69,"&lt;50")+COUNTIFS(K8:K69,"=1", H8:H69,"=A")</f>
        <v>9</v>
      </c>
      <c r="I77" s="58">
        <f>COUNTIFS(K8:K69,"=1", I8:I69,"&lt;50")+COUNTIFS(K8:K69,"=1", I8:I69,"=A")</f>
        <v>0</v>
      </c>
      <c r="J77" s="38"/>
      <c r="K77" s="33"/>
      <c r="L77" s="1"/>
      <c r="M77" s="1"/>
      <c r="N77" s="1"/>
    </row>
    <row r="78" spans="1:16" ht="14.4">
      <c r="A78" s="22"/>
      <c r="B78" s="1"/>
      <c r="C78" s="59"/>
      <c r="D78" s="22"/>
      <c r="E78" s="60"/>
      <c r="F78" s="22"/>
      <c r="G78" s="61"/>
      <c r="H78" s="22"/>
      <c r="I78" s="22"/>
      <c r="J78" s="22"/>
      <c r="K78" s="33"/>
      <c r="L78" s="1"/>
      <c r="M78" s="1"/>
      <c r="N78" s="1"/>
    </row>
    <row r="79" spans="1:16" ht="18">
      <c r="A79" s="22"/>
      <c r="B79" s="48"/>
      <c r="C79" s="62" t="s">
        <v>88</v>
      </c>
      <c r="D79" s="63"/>
      <c r="E79" s="64">
        <f>COUNTIF((K8:K69),"=0")</f>
        <v>32</v>
      </c>
      <c r="F79" s="55"/>
      <c r="G79" s="61"/>
      <c r="H79" s="22"/>
      <c r="I79" s="22"/>
      <c r="J79" s="22"/>
      <c r="K79" s="33"/>
      <c r="L79" s="1"/>
      <c r="M79" s="1"/>
      <c r="N79" s="1"/>
    </row>
    <row r="80" spans="1:16" ht="18">
      <c r="A80" s="22"/>
      <c r="B80" s="48"/>
      <c r="C80" s="62" t="s">
        <v>89</v>
      </c>
      <c r="D80" s="63"/>
      <c r="E80" s="64">
        <f>(COUNTIF((K8:K69),"&gt;0"))</f>
        <v>30</v>
      </c>
      <c r="F80" s="1"/>
      <c r="G80" s="61"/>
      <c r="H80" s="22"/>
      <c r="I80" s="22"/>
      <c r="J80" s="22"/>
      <c r="K80" s="33"/>
      <c r="L80" s="1"/>
      <c r="M80" s="1"/>
      <c r="N80" s="1"/>
    </row>
    <row r="81" spans="1:14" ht="18">
      <c r="A81" s="22"/>
      <c r="B81" s="48"/>
      <c r="C81" s="62" t="s">
        <v>90</v>
      </c>
      <c r="D81" s="63"/>
      <c r="E81" s="64">
        <f>(COUNTIF((M8:M69),"=5"))</f>
        <v>0</v>
      </c>
      <c r="F81" s="1"/>
      <c r="G81" s="61"/>
      <c r="H81" s="22"/>
      <c r="I81" s="22"/>
      <c r="J81" s="22"/>
      <c r="K81" s="33"/>
      <c r="L81" s="1"/>
      <c r="M81" s="1"/>
      <c r="N81" s="1"/>
    </row>
    <row r="82" spans="1:14" ht="18">
      <c r="A82" s="22"/>
      <c r="B82" s="48"/>
      <c r="C82" s="62" t="s">
        <v>91</v>
      </c>
      <c r="D82" s="65"/>
      <c r="E82" s="64">
        <f>COUNT(A8:A69)-E81</f>
        <v>62</v>
      </c>
      <c r="F82" s="1"/>
      <c r="G82" s="61"/>
      <c r="H82" s="22"/>
      <c r="I82" s="22"/>
      <c r="J82" s="22"/>
      <c r="K82" s="33"/>
      <c r="L82" s="1"/>
      <c r="M82" s="1"/>
      <c r="N82" s="1"/>
    </row>
    <row r="83" spans="1:14" ht="18">
      <c r="A83" s="22"/>
      <c r="B83" s="48"/>
      <c r="C83" s="62" t="s">
        <v>92</v>
      </c>
      <c r="D83" s="65"/>
      <c r="E83" s="66">
        <f>(E79/E82)*100</f>
        <v>51.612903225806448</v>
      </c>
      <c r="F83" s="1"/>
      <c r="G83" s="61"/>
      <c r="H83" s="22"/>
      <c r="I83" s="22"/>
      <c r="J83" s="22"/>
      <c r="K83" s="33"/>
      <c r="L83" s="1"/>
      <c r="M83" s="1"/>
      <c r="N83" s="1"/>
    </row>
    <row r="84" spans="1:14" ht="18">
      <c r="A84" s="22"/>
      <c r="B84" s="48"/>
      <c r="C84" s="62" t="s">
        <v>93</v>
      </c>
      <c r="D84" s="65"/>
      <c r="E84" s="67">
        <f>MAX(J8:J69)</f>
        <v>88.666666666666671</v>
      </c>
      <c r="F84" s="22"/>
      <c r="G84" s="61"/>
      <c r="H84" s="22"/>
      <c r="I84" s="22"/>
      <c r="J84" s="22"/>
      <c r="K84" s="55"/>
      <c r="L84" s="38"/>
      <c r="M84" s="1"/>
      <c r="N84" s="1"/>
    </row>
    <row r="85" spans="1:14" ht="14.4">
      <c r="A85" s="22"/>
      <c r="B85" s="1"/>
      <c r="C85" s="1"/>
      <c r="D85" s="22"/>
      <c r="E85" s="61"/>
      <c r="F85" s="22"/>
      <c r="G85" s="61"/>
      <c r="H85" s="22"/>
      <c r="I85" s="22"/>
      <c r="J85" s="22"/>
      <c r="K85" s="55"/>
      <c r="L85" s="38"/>
      <c r="M85" s="1"/>
      <c r="N85" s="1"/>
    </row>
    <row r="86" spans="1:14" ht="13.2">
      <c r="E86" s="69"/>
      <c r="G86" s="69"/>
    </row>
    <row r="87" spans="1:14" ht="13.2">
      <c r="E87" s="69"/>
      <c r="G87" s="69"/>
    </row>
    <row r="88" spans="1:14" ht="13.2">
      <c r="E88" s="69"/>
      <c r="G88" s="69"/>
    </row>
    <row r="89" spans="1:14" ht="13.2">
      <c r="E89" s="69"/>
      <c r="G89" s="69"/>
    </row>
    <row r="90" spans="1:14" ht="13.2">
      <c r="E90" s="69"/>
      <c r="G90" s="69"/>
    </row>
    <row r="91" spans="1:14" ht="13.2">
      <c r="E91" s="69"/>
      <c r="G91" s="69"/>
    </row>
    <row r="92" spans="1:14" ht="13.2">
      <c r="E92" s="69"/>
      <c r="G92" s="69"/>
    </row>
    <row r="93" spans="1:14" ht="13.2">
      <c r="E93" s="69"/>
      <c r="G93" s="69"/>
    </row>
    <row r="94" spans="1:14" ht="13.2">
      <c r="E94" s="69"/>
      <c r="G94" s="69"/>
    </row>
    <row r="95" spans="1:14" ht="13.2">
      <c r="E95" s="69"/>
      <c r="G95" s="69"/>
    </row>
    <row r="96" spans="1:14" ht="13.2">
      <c r="E96" s="69"/>
      <c r="G96" s="69"/>
    </row>
    <row r="97" spans="5:7" ht="13.2">
      <c r="E97" s="69"/>
      <c r="G97" s="69"/>
    </row>
    <row r="98" spans="5:7" ht="13.2">
      <c r="E98" s="69"/>
      <c r="G98" s="69"/>
    </row>
    <row r="99" spans="5:7" ht="13.2">
      <c r="E99" s="69"/>
      <c r="G99" s="69"/>
    </row>
    <row r="100" spans="5:7" ht="13.2">
      <c r="E100" s="69"/>
      <c r="G100" s="69"/>
    </row>
    <row r="101" spans="5:7" ht="13.2">
      <c r="E101" s="69"/>
      <c r="G101" s="69"/>
    </row>
    <row r="102" spans="5:7" ht="13.2">
      <c r="E102" s="69"/>
      <c r="G102" s="69"/>
    </row>
    <row r="103" spans="5:7" ht="13.2">
      <c r="E103" s="69"/>
      <c r="G103" s="69"/>
    </row>
    <row r="104" spans="5:7" ht="13.2">
      <c r="E104" s="69"/>
      <c r="G104" s="69"/>
    </row>
    <row r="105" spans="5:7" ht="13.2">
      <c r="E105" s="69"/>
      <c r="G105" s="69"/>
    </row>
    <row r="106" spans="5:7" ht="13.2">
      <c r="E106" s="69"/>
      <c r="G106" s="69"/>
    </row>
    <row r="107" spans="5:7" ht="13.2">
      <c r="E107" s="69"/>
      <c r="G107" s="69"/>
    </row>
    <row r="108" spans="5:7" ht="13.2">
      <c r="E108" s="69"/>
      <c r="G108" s="69"/>
    </row>
    <row r="109" spans="5:7" ht="13.2">
      <c r="E109" s="69"/>
      <c r="G109" s="69"/>
    </row>
    <row r="110" spans="5:7" ht="13.2">
      <c r="E110" s="69"/>
      <c r="G110" s="69"/>
    </row>
    <row r="111" spans="5:7" ht="13.2">
      <c r="E111" s="69"/>
      <c r="G111" s="69"/>
    </row>
    <row r="112" spans="5:7" ht="13.2">
      <c r="E112" s="69"/>
      <c r="G112" s="69"/>
    </row>
    <row r="113" spans="5:7" ht="13.2">
      <c r="E113" s="69"/>
      <c r="G113" s="69"/>
    </row>
    <row r="114" spans="5:7" ht="13.2">
      <c r="E114" s="69"/>
      <c r="G114" s="69"/>
    </row>
    <row r="115" spans="5:7" ht="13.2">
      <c r="E115" s="69"/>
      <c r="G115" s="69"/>
    </row>
    <row r="116" spans="5:7" ht="13.2">
      <c r="E116" s="69"/>
      <c r="G116" s="69"/>
    </row>
    <row r="117" spans="5:7" ht="13.2">
      <c r="E117" s="69"/>
      <c r="G117" s="69"/>
    </row>
    <row r="118" spans="5:7" ht="13.2">
      <c r="E118" s="69"/>
      <c r="G118" s="69"/>
    </row>
    <row r="119" spans="5:7" ht="13.2">
      <c r="E119" s="69"/>
      <c r="G119" s="69"/>
    </row>
    <row r="120" spans="5:7" ht="13.2">
      <c r="E120" s="69"/>
      <c r="G120" s="69"/>
    </row>
    <row r="121" spans="5:7" ht="13.2">
      <c r="E121" s="69"/>
      <c r="G121" s="69"/>
    </row>
    <row r="122" spans="5:7" ht="13.2">
      <c r="E122" s="69"/>
      <c r="G122" s="69"/>
    </row>
    <row r="123" spans="5:7" ht="13.2">
      <c r="E123" s="69"/>
      <c r="G123" s="69"/>
    </row>
    <row r="124" spans="5:7" ht="13.2">
      <c r="E124" s="69"/>
      <c r="G124" s="69"/>
    </row>
    <row r="125" spans="5:7" ht="13.2">
      <c r="E125" s="69"/>
      <c r="G125" s="69"/>
    </row>
    <row r="126" spans="5:7" ht="13.2">
      <c r="E126" s="69"/>
      <c r="G126" s="69"/>
    </row>
    <row r="127" spans="5:7" ht="13.2">
      <c r="E127" s="69"/>
      <c r="G127" s="69"/>
    </row>
    <row r="128" spans="5:7" ht="13.2">
      <c r="E128" s="69"/>
      <c r="G128" s="69"/>
    </row>
    <row r="129" spans="5:7" ht="13.2">
      <c r="E129" s="69"/>
      <c r="G129" s="69"/>
    </row>
    <row r="130" spans="5:7" ht="13.2">
      <c r="E130" s="69"/>
      <c r="G130" s="69"/>
    </row>
    <row r="131" spans="5:7" ht="13.2">
      <c r="E131" s="69"/>
      <c r="G131" s="69"/>
    </row>
    <row r="132" spans="5:7" ht="13.2">
      <c r="E132" s="69"/>
      <c r="G132" s="69"/>
    </row>
    <row r="133" spans="5:7" ht="13.2">
      <c r="E133" s="69"/>
      <c r="G133" s="69"/>
    </row>
    <row r="134" spans="5:7" ht="13.2">
      <c r="E134" s="69"/>
      <c r="G134" s="69"/>
    </row>
    <row r="135" spans="5:7" ht="13.2">
      <c r="E135" s="69"/>
      <c r="G135" s="69"/>
    </row>
    <row r="136" spans="5:7" ht="13.2">
      <c r="E136" s="69"/>
      <c r="G136" s="69"/>
    </row>
    <row r="137" spans="5:7" ht="13.2">
      <c r="E137" s="69"/>
      <c r="G137" s="69"/>
    </row>
    <row r="138" spans="5:7" ht="13.2">
      <c r="E138" s="69"/>
      <c r="G138" s="69"/>
    </row>
    <row r="139" spans="5:7" ht="13.2">
      <c r="E139" s="69"/>
      <c r="G139" s="69"/>
    </row>
    <row r="140" spans="5:7" ht="13.2">
      <c r="E140" s="69"/>
      <c r="G140" s="69"/>
    </row>
    <row r="141" spans="5:7" ht="13.2">
      <c r="E141" s="69"/>
      <c r="G141" s="69"/>
    </row>
    <row r="142" spans="5:7" ht="13.2">
      <c r="E142" s="69"/>
      <c r="G142" s="69"/>
    </row>
    <row r="143" spans="5:7" ht="13.2">
      <c r="E143" s="69"/>
      <c r="G143" s="69"/>
    </row>
    <row r="144" spans="5:7" ht="13.2">
      <c r="E144" s="69"/>
      <c r="G144" s="69"/>
    </row>
    <row r="145" spans="5:7" ht="13.2">
      <c r="E145" s="69"/>
      <c r="G145" s="69"/>
    </row>
    <row r="146" spans="5:7" ht="13.2">
      <c r="E146" s="69"/>
      <c r="G146" s="69"/>
    </row>
    <row r="147" spans="5:7" ht="13.2">
      <c r="E147" s="69"/>
      <c r="G147" s="69"/>
    </row>
    <row r="148" spans="5:7" ht="13.2">
      <c r="E148" s="69"/>
      <c r="G148" s="69"/>
    </row>
    <row r="149" spans="5:7" ht="13.2">
      <c r="E149" s="69"/>
      <c r="G149" s="69"/>
    </row>
    <row r="150" spans="5:7" ht="13.2">
      <c r="E150" s="69"/>
      <c r="G150" s="69"/>
    </row>
    <row r="151" spans="5:7" ht="13.2">
      <c r="E151" s="69"/>
      <c r="G151" s="69"/>
    </row>
    <row r="152" spans="5:7" ht="13.2">
      <c r="E152" s="69"/>
      <c r="G152" s="69"/>
    </row>
    <row r="153" spans="5:7" ht="13.2">
      <c r="E153" s="69"/>
      <c r="G153" s="69"/>
    </row>
    <row r="154" spans="5:7" ht="13.2">
      <c r="E154" s="69"/>
      <c r="G154" s="69"/>
    </row>
    <row r="155" spans="5:7" ht="13.2">
      <c r="E155" s="69"/>
      <c r="G155" s="69"/>
    </row>
    <row r="156" spans="5:7" ht="13.2">
      <c r="E156" s="69"/>
      <c r="G156" s="69"/>
    </row>
    <row r="157" spans="5:7" ht="13.2">
      <c r="E157" s="69"/>
      <c r="G157" s="69"/>
    </row>
    <row r="158" spans="5:7" ht="13.2">
      <c r="E158" s="69"/>
      <c r="G158" s="69"/>
    </row>
    <row r="159" spans="5:7" ht="13.2">
      <c r="E159" s="69"/>
      <c r="G159" s="69"/>
    </row>
    <row r="160" spans="5:7" ht="13.2">
      <c r="E160" s="69"/>
      <c r="G160" s="69"/>
    </row>
    <row r="161" spans="5:7" ht="13.2">
      <c r="E161" s="69"/>
      <c r="G161" s="69"/>
    </row>
    <row r="162" spans="5:7" ht="13.2">
      <c r="E162" s="69"/>
      <c r="G162" s="69"/>
    </row>
    <row r="163" spans="5:7" ht="13.2">
      <c r="E163" s="69"/>
      <c r="G163" s="69"/>
    </row>
    <row r="164" spans="5:7" ht="13.2">
      <c r="E164" s="69"/>
      <c r="G164" s="69"/>
    </row>
    <row r="165" spans="5:7" ht="13.2">
      <c r="E165" s="69"/>
      <c r="G165" s="69"/>
    </row>
    <row r="166" spans="5:7" ht="13.2">
      <c r="E166" s="69"/>
      <c r="G166" s="69"/>
    </row>
    <row r="167" spans="5:7" ht="13.2">
      <c r="E167" s="69"/>
      <c r="G167" s="69"/>
    </row>
    <row r="168" spans="5:7" ht="13.2">
      <c r="E168" s="69"/>
      <c r="G168" s="69"/>
    </row>
    <row r="169" spans="5:7" ht="13.2">
      <c r="E169" s="69"/>
      <c r="G169" s="69"/>
    </row>
    <row r="170" spans="5:7" ht="13.2">
      <c r="E170" s="69"/>
      <c r="G170" s="69"/>
    </row>
    <row r="171" spans="5:7" ht="13.2">
      <c r="E171" s="69"/>
      <c r="G171" s="69"/>
    </row>
    <row r="172" spans="5:7" ht="13.2">
      <c r="E172" s="69"/>
      <c r="G172" s="69"/>
    </row>
    <row r="173" spans="5:7" ht="13.2">
      <c r="E173" s="69"/>
      <c r="G173" s="69"/>
    </row>
    <row r="174" spans="5:7" ht="13.2">
      <c r="E174" s="69"/>
      <c r="G174" s="69"/>
    </row>
    <row r="175" spans="5:7" ht="13.2">
      <c r="E175" s="69"/>
      <c r="G175" s="69"/>
    </row>
    <row r="176" spans="5:7" ht="13.2">
      <c r="E176" s="69"/>
      <c r="G176" s="69"/>
    </row>
    <row r="177" spans="5:7" ht="13.2">
      <c r="E177" s="69"/>
      <c r="G177" s="69"/>
    </row>
    <row r="178" spans="5:7" ht="13.2">
      <c r="E178" s="69"/>
      <c r="G178" s="69"/>
    </row>
    <row r="179" spans="5:7" ht="13.2">
      <c r="E179" s="69"/>
      <c r="G179" s="69"/>
    </row>
    <row r="180" spans="5:7" ht="13.2">
      <c r="E180" s="69"/>
      <c r="G180" s="69"/>
    </row>
    <row r="181" spans="5:7" ht="13.2">
      <c r="E181" s="69"/>
      <c r="G181" s="69"/>
    </row>
    <row r="182" spans="5:7" ht="13.2">
      <c r="E182" s="69"/>
      <c r="G182" s="69"/>
    </row>
    <row r="183" spans="5:7" ht="13.2">
      <c r="E183" s="69"/>
      <c r="G183" s="69"/>
    </row>
    <row r="184" spans="5:7" ht="13.2">
      <c r="E184" s="69"/>
      <c r="G184" s="69"/>
    </row>
    <row r="185" spans="5:7" ht="13.2">
      <c r="E185" s="69"/>
      <c r="G185" s="69"/>
    </row>
    <row r="186" spans="5:7" ht="13.2">
      <c r="E186" s="69"/>
      <c r="G186" s="69"/>
    </row>
    <row r="187" spans="5:7" ht="13.2">
      <c r="E187" s="69"/>
      <c r="G187" s="69"/>
    </row>
    <row r="188" spans="5:7" ht="13.2">
      <c r="E188" s="69"/>
      <c r="G188" s="69"/>
    </row>
    <row r="189" spans="5:7" ht="13.2">
      <c r="E189" s="69"/>
      <c r="G189" s="69"/>
    </row>
    <row r="190" spans="5:7" ht="13.2">
      <c r="E190" s="69"/>
      <c r="G190" s="69"/>
    </row>
    <row r="191" spans="5:7" ht="13.2">
      <c r="E191" s="69"/>
      <c r="G191" s="69"/>
    </row>
    <row r="192" spans="5:7" ht="13.2">
      <c r="E192" s="69"/>
      <c r="G192" s="69"/>
    </row>
    <row r="193" spans="5:7" ht="13.2">
      <c r="E193" s="69"/>
      <c r="G193" s="69"/>
    </row>
    <row r="194" spans="5:7" ht="13.2">
      <c r="E194" s="69"/>
      <c r="G194" s="69"/>
    </row>
    <row r="195" spans="5:7" ht="13.2">
      <c r="E195" s="69"/>
      <c r="G195" s="69"/>
    </row>
    <row r="196" spans="5:7" ht="13.2">
      <c r="E196" s="69"/>
      <c r="G196" s="69"/>
    </row>
    <row r="197" spans="5:7" ht="13.2">
      <c r="E197" s="69"/>
      <c r="G197" s="69"/>
    </row>
    <row r="198" spans="5:7" ht="13.2">
      <c r="E198" s="69"/>
      <c r="G198" s="69"/>
    </row>
    <row r="199" spans="5:7" ht="13.2">
      <c r="E199" s="69"/>
      <c r="G199" s="69"/>
    </row>
    <row r="200" spans="5:7" ht="13.2">
      <c r="E200" s="69"/>
      <c r="G200" s="69"/>
    </row>
    <row r="201" spans="5:7" ht="13.2">
      <c r="E201" s="69"/>
      <c r="G201" s="69"/>
    </row>
    <row r="202" spans="5:7" ht="13.2">
      <c r="E202" s="69"/>
      <c r="G202" s="69"/>
    </row>
    <row r="203" spans="5:7" ht="13.2">
      <c r="E203" s="69"/>
      <c r="G203" s="69"/>
    </row>
    <row r="204" spans="5:7" ht="13.2">
      <c r="E204" s="69"/>
      <c r="G204" s="69"/>
    </row>
    <row r="205" spans="5:7" ht="13.2">
      <c r="E205" s="69"/>
      <c r="G205" s="69"/>
    </row>
    <row r="206" spans="5:7" ht="13.2">
      <c r="E206" s="69"/>
      <c r="G206" s="69"/>
    </row>
    <row r="207" spans="5:7" ht="13.2">
      <c r="E207" s="69"/>
      <c r="G207" s="69"/>
    </row>
    <row r="208" spans="5:7" ht="13.2">
      <c r="E208" s="69"/>
      <c r="G208" s="69"/>
    </row>
    <row r="209" spans="5:7" ht="13.2">
      <c r="E209" s="69"/>
      <c r="G209" s="69"/>
    </row>
    <row r="210" spans="5:7" ht="13.2">
      <c r="E210" s="69"/>
      <c r="G210" s="69"/>
    </row>
    <row r="211" spans="5:7" ht="13.2">
      <c r="E211" s="69"/>
      <c r="G211" s="69"/>
    </row>
    <row r="212" spans="5:7" ht="13.2">
      <c r="E212" s="69"/>
      <c r="G212" s="69"/>
    </row>
    <row r="213" spans="5:7" ht="13.2">
      <c r="E213" s="69"/>
      <c r="G213" s="69"/>
    </row>
    <row r="214" spans="5:7" ht="13.2">
      <c r="E214" s="69"/>
      <c r="G214" s="69"/>
    </row>
    <row r="215" spans="5:7" ht="13.2">
      <c r="E215" s="69"/>
      <c r="G215" s="69"/>
    </row>
    <row r="216" spans="5:7" ht="13.2">
      <c r="E216" s="69"/>
      <c r="G216" s="69"/>
    </row>
    <row r="217" spans="5:7" ht="13.2">
      <c r="E217" s="69"/>
      <c r="G217" s="69"/>
    </row>
    <row r="218" spans="5:7" ht="13.2">
      <c r="E218" s="69"/>
      <c r="G218" s="69"/>
    </row>
    <row r="219" spans="5:7" ht="13.2">
      <c r="E219" s="69"/>
      <c r="G219" s="69"/>
    </row>
    <row r="220" spans="5:7" ht="13.2">
      <c r="E220" s="69"/>
      <c r="G220" s="69"/>
    </row>
    <row r="221" spans="5:7" ht="13.2">
      <c r="E221" s="69"/>
      <c r="G221" s="69"/>
    </row>
    <row r="222" spans="5:7" ht="13.2">
      <c r="E222" s="69"/>
      <c r="G222" s="69"/>
    </row>
    <row r="223" spans="5:7" ht="13.2">
      <c r="E223" s="69"/>
      <c r="G223" s="69"/>
    </row>
    <row r="224" spans="5:7" ht="13.2">
      <c r="E224" s="69"/>
      <c r="G224" s="69"/>
    </row>
    <row r="225" spans="5:7" ht="13.2">
      <c r="E225" s="69"/>
      <c r="G225" s="69"/>
    </row>
    <row r="226" spans="5:7" ht="13.2">
      <c r="E226" s="69"/>
      <c r="G226" s="69"/>
    </row>
    <row r="227" spans="5:7" ht="13.2">
      <c r="E227" s="69"/>
      <c r="G227" s="69"/>
    </row>
    <row r="228" spans="5:7" ht="13.2">
      <c r="E228" s="69"/>
      <c r="G228" s="69"/>
    </row>
    <row r="229" spans="5:7" ht="13.2">
      <c r="E229" s="69"/>
      <c r="G229" s="69"/>
    </row>
    <row r="230" spans="5:7" ht="13.2">
      <c r="E230" s="69"/>
      <c r="G230" s="69"/>
    </row>
    <row r="231" spans="5:7" ht="13.2">
      <c r="E231" s="69"/>
      <c r="G231" s="69"/>
    </row>
    <row r="232" spans="5:7" ht="13.2">
      <c r="E232" s="69"/>
      <c r="G232" s="69"/>
    </row>
    <row r="233" spans="5:7" ht="13.2">
      <c r="E233" s="69"/>
      <c r="G233" s="69"/>
    </row>
    <row r="234" spans="5:7" ht="13.2">
      <c r="E234" s="69"/>
      <c r="G234" s="69"/>
    </row>
    <row r="235" spans="5:7" ht="13.2">
      <c r="E235" s="69"/>
      <c r="G235" s="69"/>
    </row>
    <row r="236" spans="5:7" ht="13.2">
      <c r="E236" s="69"/>
      <c r="G236" s="69"/>
    </row>
    <row r="237" spans="5:7" ht="13.2">
      <c r="E237" s="69"/>
      <c r="G237" s="69"/>
    </row>
    <row r="238" spans="5:7" ht="13.2">
      <c r="E238" s="69"/>
      <c r="G238" s="69"/>
    </row>
    <row r="239" spans="5:7" ht="13.2">
      <c r="E239" s="69"/>
      <c r="G239" s="69"/>
    </row>
    <row r="240" spans="5:7" ht="13.2">
      <c r="E240" s="69"/>
      <c r="G240" s="69"/>
    </row>
    <row r="241" spans="5:7" ht="13.2">
      <c r="E241" s="69"/>
      <c r="G241" s="69"/>
    </row>
    <row r="242" spans="5:7" ht="13.2">
      <c r="E242" s="69"/>
      <c r="G242" s="69"/>
    </row>
    <row r="243" spans="5:7" ht="13.2">
      <c r="E243" s="69"/>
      <c r="G243" s="69"/>
    </row>
    <row r="244" spans="5:7" ht="13.2">
      <c r="E244" s="69"/>
      <c r="G244" s="69"/>
    </row>
    <row r="245" spans="5:7" ht="13.2">
      <c r="E245" s="69"/>
      <c r="G245" s="69"/>
    </row>
    <row r="246" spans="5:7" ht="13.2">
      <c r="E246" s="69"/>
      <c r="G246" s="69"/>
    </row>
    <row r="247" spans="5:7" ht="13.2">
      <c r="E247" s="69"/>
      <c r="G247" s="69"/>
    </row>
    <row r="248" spans="5:7" ht="13.2">
      <c r="E248" s="69"/>
      <c r="G248" s="69"/>
    </row>
    <row r="249" spans="5:7" ht="13.2">
      <c r="E249" s="69"/>
      <c r="G249" s="69"/>
    </row>
    <row r="250" spans="5:7" ht="13.2">
      <c r="E250" s="69"/>
      <c r="G250" s="69"/>
    </row>
    <row r="251" spans="5:7" ht="13.2">
      <c r="E251" s="69"/>
      <c r="G251" s="69"/>
    </row>
    <row r="252" spans="5:7" ht="13.2">
      <c r="E252" s="69"/>
      <c r="G252" s="69"/>
    </row>
    <row r="253" spans="5:7" ht="13.2">
      <c r="E253" s="69"/>
      <c r="G253" s="69"/>
    </row>
    <row r="254" spans="5:7" ht="13.2">
      <c r="E254" s="69"/>
      <c r="G254" s="69"/>
    </row>
    <row r="255" spans="5:7" ht="13.2">
      <c r="E255" s="69"/>
      <c r="G255" s="69"/>
    </row>
    <row r="256" spans="5:7" ht="13.2">
      <c r="E256" s="69"/>
      <c r="G256" s="69"/>
    </row>
    <row r="257" spans="5:7" ht="13.2">
      <c r="E257" s="69"/>
      <c r="G257" s="69"/>
    </row>
    <row r="258" spans="5:7" ht="13.2">
      <c r="E258" s="69"/>
      <c r="G258" s="69"/>
    </row>
    <row r="259" spans="5:7" ht="13.2">
      <c r="E259" s="69"/>
      <c r="G259" s="69"/>
    </row>
    <row r="260" spans="5:7" ht="13.2">
      <c r="E260" s="69"/>
      <c r="G260" s="69"/>
    </row>
    <row r="261" spans="5:7" ht="13.2">
      <c r="E261" s="69"/>
      <c r="G261" s="69"/>
    </row>
    <row r="262" spans="5:7" ht="13.2">
      <c r="E262" s="69"/>
      <c r="G262" s="69"/>
    </row>
    <row r="263" spans="5:7" ht="13.2">
      <c r="E263" s="69"/>
      <c r="G263" s="69"/>
    </row>
    <row r="264" spans="5:7" ht="13.2">
      <c r="E264" s="69"/>
      <c r="G264" s="69"/>
    </row>
    <row r="265" spans="5:7" ht="13.2">
      <c r="E265" s="69"/>
      <c r="G265" s="69"/>
    </row>
    <row r="266" spans="5:7" ht="13.2">
      <c r="E266" s="69"/>
      <c r="G266" s="69"/>
    </row>
    <row r="267" spans="5:7" ht="13.2">
      <c r="E267" s="69"/>
      <c r="G267" s="69"/>
    </row>
    <row r="268" spans="5:7" ht="13.2">
      <c r="E268" s="69"/>
      <c r="G268" s="69"/>
    </row>
    <row r="269" spans="5:7" ht="13.2">
      <c r="E269" s="69"/>
      <c r="G269" s="69"/>
    </row>
    <row r="270" spans="5:7" ht="13.2">
      <c r="E270" s="69"/>
      <c r="G270" s="69"/>
    </row>
    <row r="271" spans="5:7" ht="13.2">
      <c r="E271" s="69"/>
      <c r="G271" s="69"/>
    </row>
    <row r="272" spans="5:7" ht="13.2">
      <c r="E272" s="69"/>
      <c r="G272" s="69"/>
    </row>
    <row r="273" spans="5:7" ht="13.2">
      <c r="E273" s="69"/>
      <c r="G273" s="69"/>
    </row>
    <row r="274" spans="5:7" ht="13.2">
      <c r="E274" s="69"/>
      <c r="G274" s="69"/>
    </row>
    <row r="275" spans="5:7" ht="13.2">
      <c r="E275" s="69"/>
      <c r="G275" s="69"/>
    </row>
    <row r="276" spans="5:7" ht="13.2">
      <c r="E276" s="69"/>
      <c r="G276" s="69"/>
    </row>
    <row r="277" spans="5:7" ht="13.2">
      <c r="E277" s="69"/>
      <c r="G277" s="69"/>
    </row>
    <row r="278" spans="5:7" ht="13.2">
      <c r="E278" s="69"/>
      <c r="G278" s="69"/>
    </row>
    <row r="279" spans="5:7" ht="13.2">
      <c r="E279" s="69"/>
      <c r="G279" s="69"/>
    </row>
    <row r="280" spans="5:7" ht="13.2">
      <c r="E280" s="69"/>
      <c r="G280" s="69"/>
    </row>
    <row r="281" spans="5:7" ht="13.2">
      <c r="E281" s="69"/>
      <c r="G281" s="69"/>
    </row>
    <row r="282" spans="5:7" ht="13.2">
      <c r="E282" s="69"/>
      <c r="G282" s="69"/>
    </row>
    <row r="283" spans="5:7" ht="13.2">
      <c r="E283" s="69"/>
      <c r="G283" s="69"/>
    </row>
    <row r="284" spans="5:7" ht="13.2">
      <c r="E284" s="69"/>
      <c r="G284" s="69"/>
    </row>
    <row r="285" spans="5:7" ht="13.2">
      <c r="E285" s="69"/>
      <c r="G285" s="69"/>
    </row>
    <row r="286" spans="5:7" ht="13.2">
      <c r="E286" s="69"/>
      <c r="G286" s="69"/>
    </row>
    <row r="287" spans="5:7" ht="13.2">
      <c r="E287" s="69"/>
      <c r="G287" s="69"/>
    </row>
    <row r="288" spans="5:7" ht="13.2">
      <c r="E288" s="69"/>
      <c r="G288" s="69"/>
    </row>
    <row r="289" spans="5:7" ht="13.2">
      <c r="E289" s="69"/>
      <c r="G289" s="69"/>
    </row>
    <row r="290" spans="5:7" ht="13.2">
      <c r="E290" s="69"/>
      <c r="G290" s="69"/>
    </row>
    <row r="291" spans="5:7" ht="13.2">
      <c r="E291" s="69"/>
      <c r="G291" s="69"/>
    </row>
    <row r="292" spans="5:7" ht="13.2">
      <c r="E292" s="69"/>
      <c r="G292" s="69"/>
    </row>
    <row r="293" spans="5:7" ht="13.2">
      <c r="E293" s="69"/>
      <c r="G293" s="69"/>
    </row>
    <row r="294" spans="5:7" ht="13.2">
      <c r="E294" s="69"/>
      <c r="G294" s="69"/>
    </row>
    <row r="295" spans="5:7" ht="13.2">
      <c r="E295" s="69"/>
      <c r="G295" s="69"/>
    </row>
    <row r="296" spans="5:7" ht="13.2">
      <c r="E296" s="69"/>
      <c r="G296" s="69"/>
    </row>
    <row r="297" spans="5:7" ht="13.2">
      <c r="E297" s="69"/>
      <c r="G297" s="69"/>
    </row>
    <row r="298" spans="5:7" ht="13.2">
      <c r="E298" s="69"/>
      <c r="G298" s="69"/>
    </row>
    <row r="299" spans="5:7" ht="13.2">
      <c r="E299" s="69"/>
      <c r="G299" s="69"/>
    </row>
    <row r="300" spans="5:7" ht="13.2">
      <c r="E300" s="69"/>
      <c r="G300" s="69"/>
    </row>
    <row r="301" spans="5:7" ht="13.2">
      <c r="E301" s="69"/>
      <c r="G301" s="69"/>
    </row>
    <row r="302" spans="5:7" ht="13.2">
      <c r="E302" s="69"/>
      <c r="G302" s="69"/>
    </row>
    <row r="303" spans="5:7" ht="13.2">
      <c r="E303" s="69"/>
      <c r="G303" s="69"/>
    </row>
    <row r="304" spans="5:7" ht="13.2">
      <c r="E304" s="69"/>
      <c r="G304" s="69"/>
    </row>
    <row r="305" spans="5:7" ht="13.2">
      <c r="E305" s="69"/>
      <c r="G305" s="69"/>
    </row>
    <row r="306" spans="5:7" ht="13.2">
      <c r="E306" s="69"/>
      <c r="G306" s="69"/>
    </row>
    <row r="307" spans="5:7" ht="13.2">
      <c r="E307" s="69"/>
      <c r="G307" s="69"/>
    </row>
    <row r="308" spans="5:7" ht="13.2">
      <c r="E308" s="69"/>
      <c r="G308" s="69"/>
    </row>
    <row r="309" spans="5:7" ht="13.2">
      <c r="E309" s="69"/>
      <c r="G309" s="69"/>
    </row>
    <row r="310" spans="5:7" ht="13.2">
      <c r="E310" s="69"/>
      <c r="G310" s="69"/>
    </row>
    <row r="311" spans="5:7" ht="13.2">
      <c r="E311" s="69"/>
      <c r="G311" s="69"/>
    </row>
    <row r="312" spans="5:7" ht="13.2">
      <c r="E312" s="69"/>
      <c r="G312" s="69"/>
    </row>
    <row r="313" spans="5:7" ht="13.2">
      <c r="E313" s="69"/>
      <c r="G313" s="69"/>
    </row>
    <row r="314" spans="5:7" ht="13.2">
      <c r="E314" s="69"/>
      <c r="G314" s="69"/>
    </row>
    <row r="315" spans="5:7" ht="13.2">
      <c r="E315" s="69"/>
      <c r="G315" s="69"/>
    </row>
    <row r="316" spans="5:7" ht="13.2">
      <c r="E316" s="69"/>
      <c r="G316" s="69"/>
    </row>
    <row r="317" spans="5:7" ht="13.2">
      <c r="E317" s="69"/>
      <c r="G317" s="69"/>
    </row>
    <row r="318" spans="5:7" ht="13.2">
      <c r="E318" s="69"/>
      <c r="G318" s="69"/>
    </row>
    <row r="319" spans="5:7" ht="13.2">
      <c r="E319" s="69"/>
      <c r="G319" s="69"/>
    </row>
    <row r="320" spans="5:7" ht="13.2">
      <c r="E320" s="69"/>
      <c r="G320" s="69"/>
    </row>
    <row r="321" spans="5:7" ht="13.2">
      <c r="E321" s="69"/>
      <c r="G321" s="69"/>
    </row>
    <row r="322" spans="5:7" ht="13.2">
      <c r="E322" s="69"/>
      <c r="G322" s="69"/>
    </row>
    <row r="323" spans="5:7" ht="13.2">
      <c r="E323" s="69"/>
      <c r="G323" s="69"/>
    </row>
    <row r="324" spans="5:7" ht="13.2">
      <c r="E324" s="69"/>
      <c r="G324" s="69"/>
    </row>
    <row r="325" spans="5:7" ht="13.2">
      <c r="E325" s="69"/>
      <c r="G325" s="69"/>
    </row>
    <row r="326" spans="5:7" ht="13.2">
      <c r="E326" s="69"/>
      <c r="G326" s="69"/>
    </row>
    <row r="327" spans="5:7" ht="13.2">
      <c r="E327" s="69"/>
      <c r="G327" s="69"/>
    </row>
    <row r="328" spans="5:7" ht="13.2">
      <c r="E328" s="69"/>
      <c r="G328" s="69"/>
    </row>
    <row r="329" spans="5:7" ht="13.2">
      <c r="E329" s="69"/>
      <c r="G329" s="69"/>
    </row>
    <row r="330" spans="5:7" ht="13.2">
      <c r="E330" s="69"/>
      <c r="G330" s="69"/>
    </row>
    <row r="331" spans="5:7" ht="13.2">
      <c r="E331" s="69"/>
      <c r="G331" s="69"/>
    </row>
    <row r="332" spans="5:7" ht="13.2">
      <c r="E332" s="69"/>
      <c r="G332" s="69"/>
    </row>
    <row r="333" spans="5:7" ht="13.2">
      <c r="E333" s="69"/>
      <c r="G333" s="69"/>
    </row>
    <row r="334" spans="5:7" ht="13.2">
      <c r="E334" s="69"/>
      <c r="G334" s="69"/>
    </row>
    <row r="335" spans="5:7" ht="13.2">
      <c r="E335" s="69"/>
      <c r="G335" s="69"/>
    </row>
    <row r="336" spans="5:7" ht="13.2">
      <c r="E336" s="69"/>
      <c r="G336" s="69"/>
    </row>
    <row r="337" spans="5:7" ht="13.2">
      <c r="E337" s="69"/>
      <c r="G337" s="69"/>
    </row>
    <row r="338" spans="5:7" ht="13.2">
      <c r="E338" s="69"/>
      <c r="G338" s="69"/>
    </row>
    <row r="339" spans="5:7" ht="13.2">
      <c r="E339" s="69"/>
      <c r="G339" s="69"/>
    </row>
    <row r="340" spans="5:7" ht="13.2">
      <c r="E340" s="69"/>
      <c r="G340" s="69"/>
    </row>
    <row r="341" spans="5:7" ht="13.2">
      <c r="E341" s="69"/>
      <c r="G341" s="69"/>
    </row>
    <row r="342" spans="5:7" ht="13.2">
      <c r="E342" s="69"/>
      <c r="G342" s="69"/>
    </row>
    <row r="343" spans="5:7" ht="13.2">
      <c r="E343" s="69"/>
      <c r="G343" s="69"/>
    </row>
    <row r="344" spans="5:7" ht="13.2">
      <c r="E344" s="69"/>
      <c r="G344" s="69"/>
    </row>
    <row r="345" spans="5:7" ht="13.2">
      <c r="E345" s="69"/>
      <c r="G345" s="69"/>
    </row>
    <row r="346" spans="5:7" ht="13.2">
      <c r="E346" s="69"/>
      <c r="G346" s="69"/>
    </row>
    <row r="347" spans="5:7" ht="13.2">
      <c r="E347" s="69"/>
      <c r="G347" s="69"/>
    </row>
    <row r="348" spans="5:7" ht="13.2">
      <c r="E348" s="69"/>
      <c r="G348" s="69"/>
    </row>
    <row r="349" spans="5:7" ht="13.2">
      <c r="E349" s="69"/>
      <c r="G349" s="69"/>
    </row>
    <row r="350" spans="5:7" ht="13.2">
      <c r="E350" s="69"/>
      <c r="G350" s="69"/>
    </row>
    <row r="351" spans="5:7" ht="13.2">
      <c r="E351" s="69"/>
      <c r="G351" s="69"/>
    </row>
    <row r="352" spans="5:7" ht="13.2">
      <c r="E352" s="69"/>
      <c r="G352" s="69"/>
    </row>
    <row r="353" spans="5:7" ht="13.2">
      <c r="E353" s="69"/>
      <c r="G353" s="69"/>
    </row>
    <row r="354" spans="5:7" ht="13.2">
      <c r="E354" s="69"/>
      <c r="G354" s="69"/>
    </row>
    <row r="355" spans="5:7" ht="13.2">
      <c r="E355" s="69"/>
      <c r="G355" s="69"/>
    </row>
    <row r="356" spans="5:7" ht="13.2">
      <c r="E356" s="69"/>
      <c r="G356" s="69"/>
    </row>
    <row r="357" spans="5:7" ht="13.2">
      <c r="E357" s="69"/>
      <c r="G357" s="69"/>
    </row>
    <row r="358" spans="5:7" ht="13.2">
      <c r="E358" s="69"/>
      <c r="G358" s="69"/>
    </row>
    <row r="359" spans="5:7" ht="13.2">
      <c r="E359" s="69"/>
      <c r="G359" s="69"/>
    </row>
    <row r="360" spans="5:7" ht="13.2">
      <c r="E360" s="69"/>
      <c r="G360" s="69"/>
    </row>
    <row r="361" spans="5:7" ht="13.2">
      <c r="E361" s="69"/>
      <c r="G361" s="69"/>
    </row>
    <row r="362" spans="5:7" ht="13.2">
      <c r="E362" s="69"/>
      <c r="G362" s="69"/>
    </row>
    <row r="363" spans="5:7" ht="13.2">
      <c r="E363" s="69"/>
      <c r="G363" s="69"/>
    </row>
    <row r="364" spans="5:7" ht="13.2">
      <c r="E364" s="69"/>
      <c r="G364" s="69"/>
    </row>
    <row r="365" spans="5:7" ht="13.2">
      <c r="E365" s="69"/>
      <c r="G365" s="69"/>
    </row>
    <row r="366" spans="5:7" ht="13.2">
      <c r="E366" s="69"/>
      <c r="G366" s="69"/>
    </row>
    <row r="367" spans="5:7" ht="13.2">
      <c r="E367" s="69"/>
      <c r="G367" s="69"/>
    </row>
    <row r="368" spans="5:7" ht="13.2">
      <c r="E368" s="69"/>
      <c r="G368" s="69"/>
    </row>
    <row r="369" spans="5:7" ht="13.2">
      <c r="E369" s="69"/>
      <c r="G369" s="69"/>
    </row>
    <row r="370" spans="5:7" ht="13.2">
      <c r="E370" s="69"/>
      <c r="G370" s="69"/>
    </row>
    <row r="371" spans="5:7" ht="13.2">
      <c r="E371" s="69"/>
      <c r="G371" s="69"/>
    </row>
    <row r="372" spans="5:7" ht="13.2">
      <c r="E372" s="69"/>
      <c r="G372" s="69"/>
    </row>
    <row r="373" spans="5:7" ht="13.2">
      <c r="E373" s="69"/>
      <c r="G373" s="69"/>
    </row>
    <row r="374" spans="5:7" ht="13.2">
      <c r="E374" s="69"/>
      <c r="G374" s="69"/>
    </row>
    <row r="375" spans="5:7" ht="13.2">
      <c r="E375" s="69"/>
      <c r="G375" s="69"/>
    </row>
    <row r="376" spans="5:7" ht="13.2">
      <c r="E376" s="69"/>
      <c r="G376" s="69"/>
    </row>
    <row r="377" spans="5:7" ht="13.2">
      <c r="E377" s="69"/>
      <c r="G377" s="69"/>
    </row>
    <row r="378" spans="5:7" ht="13.2">
      <c r="E378" s="69"/>
      <c r="G378" s="69"/>
    </row>
    <row r="379" spans="5:7" ht="13.2">
      <c r="E379" s="69"/>
      <c r="G379" s="69"/>
    </row>
    <row r="380" spans="5:7" ht="13.2">
      <c r="E380" s="69"/>
      <c r="G380" s="69"/>
    </row>
    <row r="381" spans="5:7" ht="13.2">
      <c r="E381" s="69"/>
      <c r="G381" s="69"/>
    </row>
    <row r="382" spans="5:7" ht="13.2">
      <c r="E382" s="69"/>
      <c r="G382" s="69"/>
    </row>
    <row r="383" spans="5:7" ht="13.2">
      <c r="E383" s="69"/>
      <c r="G383" s="69"/>
    </row>
    <row r="384" spans="5:7" ht="13.2">
      <c r="E384" s="69"/>
      <c r="G384" s="69"/>
    </row>
    <row r="385" spans="5:7" ht="13.2">
      <c r="E385" s="69"/>
      <c r="G385" s="69"/>
    </row>
    <row r="386" spans="5:7" ht="13.2">
      <c r="E386" s="69"/>
      <c r="G386" s="69"/>
    </row>
    <row r="387" spans="5:7" ht="13.2">
      <c r="E387" s="69"/>
      <c r="G387" s="69"/>
    </row>
    <row r="388" spans="5:7" ht="13.2">
      <c r="E388" s="69"/>
      <c r="G388" s="69"/>
    </row>
    <row r="389" spans="5:7" ht="13.2">
      <c r="E389" s="69"/>
      <c r="G389" s="69"/>
    </row>
    <row r="390" spans="5:7" ht="13.2">
      <c r="E390" s="69"/>
      <c r="G390" s="69"/>
    </row>
    <row r="391" spans="5:7" ht="13.2">
      <c r="E391" s="69"/>
      <c r="G391" s="69"/>
    </row>
    <row r="392" spans="5:7" ht="13.2">
      <c r="E392" s="69"/>
      <c r="G392" s="69"/>
    </row>
    <row r="393" spans="5:7" ht="13.2">
      <c r="E393" s="69"/>
      <c r="G393" s="69"/>
    </row>
    <row r="394" spans="5:7" ht="13.2">
      <c r="E394" s="69"/>
      <c r="G394" s="69"/>
    </row>
    <row r="395" spans="5:7" ht="13.2">
      <c r="E395" s="69"/>
      <c r="G395" s="69"/>
    </row>
    <row r="396" spans="5:7" ht="13.2">
      <c r="E396" s="69"/>
      <c r="G396" s="69"/>
    </row>
    <row r="397" spans="5:7" ht="13.2">
      <c r="E397" s="69"/>
      <c r="G397" s="69"/>
    </row>
    <row r="398" spans="5:7" ht="13.2">
      <c r="E398" s="69"/>
      <c r="G398" s="69"/>
    </row>
    <row r="399" spans="5:7" ht="13.2">
      <c r="E399" s="69"/>
      <c r="G399" s="69"/>
    </row>
    <row r="400" spans="5:7" ht="13.2">
      <c r="E400" s="69"/>
      <c r="G400" s="69"/>
    </row>
    <row r="401" spans="5:7" ht="13.2">
      <c r="E401" s="69"/>
      <c r="G401" s="69"/>
    </row>
    <row r="402" spans="5:7" ht="13.2">
      <c r="E402" s="69"/>
      <c r="G402" s="69"/>
    </row>
    <row r="403" spans="5:7" ht="13.2">
      <c r="E403" s="69"/>
      <c r="G403" s="69"/>
    </row>
    <row r="404" spans="5:7" ht="13.2">
      <c r="E404" s="69"/>
      <c r="G404" s="69"/>
    </row>
    <row r="405" spans="5:7" ht="13.2">
      <c r="E405" s="69"/>
      <c r="G405" s="69"/>
    </row>
    <row r="406" spans="5:7" ht="13.2">
      <c r="E406" s="69"/>
      <c r="G406" s="69"/>
    </row>
    <row r="407" spans="5:7" ht="13.2">
      <c r="E407" s="69"/>
      <c r="G407" s="69"/>
    </row>
    <row r="408" spans="5:7" ht="13.2">
      <c r="E408" s="69"/>
      <c r="G408" s="69"/>
    </row>
    <row r="409" spans="5:7" ht="13.2">
      <c r="E409" s="69"/>
      <c r="G409" s="69"/>
    </row>
    <row r="410" spans="5:7" ht="13.2">
      <c r="E410" s="69"/>
      <c r="G410" s="69"/>
    </row>
    <row r="411" spans="5:7" ht="13.2">
      <c r="E411" s="69"/>
      <c r="G411" s="69"/>
    </row>
    <row r="412" spans="5:7" ht="13.2">
      <c r="E412" s="69"/>
      <c r="G412" s="69"/>
    </row>
    <row r="413" spans="5:7" ht="13.2">
      <c r="E413" s="69"/>
      <c r="G413" s="69"/>
    </row>
    <row r="414" spans="5:7" ht="13.2">
      <c r="E414" s="69"/>
      <c r="G414" s="69"/>
    </row>
    <row r="415" spans="5:7" ht="13.2">
      <c r="E415" s="69"/>
      <c r="G415" s="69"/>
    </row>
    <row r="416" spans="5:7" ht="13.2">
      <c r="E416" s="69"/>
      <c r="G416" s="69"/>
    </row>
    <row r="417" spans="5:7" ht="13.2">
      <c r="E417" s="69"/>
      <c r="G417" s="69"/>
    </row>
    <row r="418" spans="5:7" ht="13.2">
      <c r="E418" s="69"/>
      <c r="G418" s="69"/>
    </row>
    <row r="419" spans="5:7" ht="13.2">
      <c r="E419" s="69"/>
      <c r="G419" s="69"/>
    </row>
    <row r="420" spans="5:7" ht="13.2">
      <c r="E420" s="69"/>
      <c r="G420" s="69"/>
    </row>
    <row r="421" spans="5:7" ht="13.2">
      <c r="E421" s="69"/>
      <c r="G421" s="69"/>
    </row>
    <row r="422" spans="5:7" ht="13.2">
      <c r="E422" s="69"/>
      <c r="G422" s="69"/>
    </row>
    <row r="423" spans="5:7" ht="13.2">
      <c r="E423" s="69"/>
      <c r="G423" s="69"/>
    </row>
    <row r="424" spans="5:7" ht="13.2">
      <c r="E424" s="69"/>
      <c r="G424" s="69"/>
    </row>
    <row r="425" spans="5:7" ht="13.2">
      <c r="E425" s="69"/>
      <c r="G425" s="69"/>
    </row>
    <row r="426" spans="5:7" ht="13.2">
      <c r="E426" s="69"/>
      <c r="G426" s="69"/>
    </row>
    <row r="427" spans="5:7" ht="13.2">
      <c r="E427" s="69"/>
      <c r="G427" s="69"/>
    </row>
    <row r="428" spans="5:7" ht="13.2">
      <c r="E428" s="69"/>
      <c r="G428" s="69"/>
    </row>
    <row r="429" spans="5:7" ht="13.2">
      <c r="E429" s="69"/>
      <c r="G429" s="69"/>
    </row>
    <row r="430" spans="5:7" ht="13.2">
      <c r="E430" s="69"/>
      <c r="G430" s="69"/>
    </row>
    <row r="431" spans="5:7" ht="13.2">
      <c r="E431" s="69"/>
      <c r="G431" s="69"/>
    </row>
    <row r="432" spans="5:7" ht="13.2">
      <c r="E432" s="69"/>
      <c r="G432" s="69"/>
    </row>
    <row r="433" spans="5:7" ht="13.2">
      <c r="E433" s="69"/>
      <c r="G433" s="69"/>
    </row>
    <row r="434" spans="5:7" ht="13.2">
      <c r="E434" s="69"/>
      <c r="G434" s="69"/>
    </row>
    <row r="435" spans="5:7" ht="13.2">
      <c r="E435" s="69"/>
      <c r="G435" s="69"/>
    </row>
    <row r="436" spans="5:7" ht="13.2">
      <c r="E436" s="69"/>
      <c r="G436" s="69"/>
    </row>
    <row r="437" spans="5:7" ht="13.2">
      <c r="E437" s="69"/>
      <c r="G437" s="69"/>
    </row>
    <row r="438" spans="5:7" ht="13.2">
      <c r="E438" s="69"/>
      <c r="G438" s="69"/>
    </row>
    <row r="439" spans="5:7" ht="13.2">
      <c r="E439" s="69"/>
      <c r="G439" s="69"/>
    </row>
    <row r="440" spans="5:7" ht="13.2">
      <c r="E440" s="69"/>
      <c r="G440" s="69"/>
    </row>
    <row r="441" spans="5:7" ht="13.2">
      <c r="E441" s="69"/>
      <c r="G441" s="69"/>
    </row>
    <row r="442" spans="5:7" ht="13.2">
      <c r="E442" s="69"/>
      <c r="G442" s="69"/>
    </row>
    <row r="443" spans="5:7" ht="13.2">
      <c r="E443" s="69"/>
      <c r="G443" s="69"/>
    </row>
    <row r="444" spans="5:7" ht="13.2">
      <c r="E444" s="69"/>
      <c r="G444" s="69"/>
    </row>
    <row r="445" spans="5:7" ht="13.2">
      <c r="E445" s="69"/>
      <c r="G445" s="69"/>
    </row>
    <row r="446" spans="5:7" ht="13.2">
      <c r="E446" s="69"/>
      <c r="G446" s="69"/>
    </row>
    <row r="447" spans="5:7" ht="13.2">
      <c r="E447" s="69"/>
      <c r="G447" s="69"/>
    </row>
    <row r="448" spans="5:7" ht="13.2">
      <c r="E448" s="69"/>
      <c r="G448" s="69"/>
    </row>
    <row r="449" spans="5:7" ht="13.2">
      <c r="E449" s="69"/>
      <c r="G449" s="69"/>
    </row>
    <row r="450" spans="5:7" ht="13.2">
      <c r="E450" s="69"/>
      <c r="G450" s="69"/>
    </row>
    <row r="451" spans="5:7" ht="13.2">
      <c r="E451" s="69"/>
      <c r="G451" s="69"/>
    </row>
    <row r="452" spans="5:7" ht="13.2">
      <c r="E452" s="69"/>
      <c r="G452" s="69"/>
    </row>
    <row r="453" spans="5:7" ht="13.2">
      <c r="E453" s="69"/>
      <c r="G453" s="69"/>
    </row>
    <row r="454" spans="5:7" ht="13.2">
      <c r="E454" s="69"/>
      <c r="G454" s="69"/>
    </row>
    <row r="455" spans="5:7" ht="13.2">
      <c r="E455" s="69"/>
      <c r="G455" s="69"/>
    </row>
    <row r="456" spans="5:7" ht="13.2">
      <c r="E456" s="69"/>
      <c r="G456" s="69"/>
    </row>
    <row r="457" spans="5:7" ht="13.2">
      <c r="E457" s="69"/>
      <c r="G457" s="69"/>
    </row>
    <row r="458" spans="5:7" ht="13.2">
      <c r="E458" s="69"/>
      <c r="G458" s="69"/>
    </row>
    <row r="459" spans="5:7" ht="13.2">
      <c r="E459" s="69"/>
      <c r="G459" s="69"/>
    </row>
    <row r="460" spans="5:7" ht="13.2">
      <c r="E460" s="69"/>
      <c r="G460" s="69"/>
    </row>
    <row r="461" spans="5:7" ht="13.2">
      <c r="E461" s="69"/>
      <c r="G461" s="69"/>
    </row>
    <row r="462" spans="5:7" ht="13.2">
      <c r="E462" s="69"/>
      <c r="G462" s="69"/>
    </row>
    <row r="463" spans="5:7" ht="13.2">
      <c r="E463" s="69"/>
      <c r="G463" s="69"/>
    </row>
    <row r="464" spans="5:7" ht="13.2">
      <c r="E464" s="69"/>
      <c r="G464" s="69"/>
    </row>
    <row r="465" spans="5:7" ht="13.2">
      <c r="E465" s="69"/>
      <c r="G465" s="69"/>
    </row>
    <row r="466" spans="5:7" ht="13.2">
      <c r="E466" s="69"/>
      <c r="G466" s="69"/>
    </row>
    <row r="467" spans="5:7" ht="13.2">
      <c r="E467" s="69"/>
      <c r="G467" s="69"/>
    </row>
    <row r="468" spans="5:7" ht="13.2">
      <c r="E468" s="69"/>
      <c r="G468" s="69"/>
    </row>
    <row r="469" spans="5:7" ht="13.2">
      <c r="E469" s="69"/>
      <c r="G469" s="69"/>
    </row>
    <row r="470" spans="5:7" ht="13.2">
      <c r="E470" s="69"/>
      <c r="G470" s="69"/>
    </row>
    <row r="471" spans="5:7" ht="13.2">
      <c r="E471" s="69"/>
      <c r="G471" s="69"/>
    </row>
    <row r="472" spans="5:7" ht="13.2">
      <c r="E472" s="69"/>
      <c r="G472" s="69"/>
    </row>
    <row r="473" spans="5:7" ht="13.2">
      <c r="E473" s="69"/>
      <c r="G473" s="69"/>
    </row>
    <row r="474" spans="5:7" ht="13.2">
      <c r="E474" s="69"/>
      <c r="G474" s="69"/>
    </row>
    <row r="475" spans="5:7" ht="13.2">
      <c r="E475" s="69"/>
      <c r="G475" s="69"/>
    </row>
    <row r="476" spans="5:7" ht="13.2">
      <c r="E476" s="69"/>
      <c r="G476" s="69"/>
    </row>
    <row r="477" spans="5:7" ht="13.2">
      <c r="E477" s="69"/>
      <c r="G477" s="69"/>
    </row>
    <row r="478" spans="5:7" ht="13.2">
      <c r="E478" s="69"/>
      <c r="G478" s="69"/>
    </row>
    <row r="479" spans="5:7" ht="13.2">
      <c r="E479" s="69"/>
      <c r="G479" s="69"/>
    </row>
    <row r="480" spans="5:7" ht="13.2">
      <c r="E480" s="69"/>
      <c r="G480" s="69"/>
    </row>
    <row r="481" spans="5:7" ht="13.2">
      <c r="E481" s="69"/>
      <c r="G481" s="69"/>
    </row>
    <row r="482" spans="5:7" ht="13.2">
      <c r="E482" s="69"/>
      <c r="G482" s="69"/>
    </row>
    <row r="483" spans="5:7" ht="13.2">
      <c r="E483" s="69"/>
      <c r="G483" s="69"/>
    </row>
    <row r="484" spans="5:7" ht="13.2">
      <c r="E484" s="69"/>
      <c r="G484" s="69"/>
    </row>
    <row r="485" spans="5:7" ht="13.2">
      <c r="E485" s="69"/>
      <c r="G485" s="69"/>
    </row>
    <row r="486" spans="5:7" ht="13.2">
      <c r="E486" s="69"/>
      <c r="G486" s="69"/>
    </row>
    <row r="487" spans="5:7" ht="13.2">
      <c r="E487" s="69"/>
      <c r="G487" s="69"/>
    </row>
    <row r="488" spans="5:7" ht="13.2">
      <c r="E488" s="69"/>
      <c r="G488" s="69"/>
    </row>
    <row r="489" spans="5:7" ht="13.2">
      <c r="E489" s="69"/>
      <c r="G489" s="69"/>
    </row>
    <row r="490" spans="5:7" ht="13.2">
      <c r="E490" s="69"/>
      <c r="G490" s="69"/>
    </row>
    <row r="491" spans="5:7" ht="13.2">
      <c r="E491" s="69"/>
      <c r="G491" s="69"/>
    </row>
    <row r="492" spans="5:7" ht="13.2">
      <c r="E492" s="69"/>
      <c r="G492" s="69"/>
    </row>
    <row r="493" spans="5:7" ht="13.2">
      <c r="E493" s="69"/>
      <c r="G493" s="69"/>
    </row>
    <row r="494" spans="5:7" ht="13.2">
      <c r="E494" s="69"/>
      <c r="G494" s="69"/>
    </row>
    <row r="495" spans="5:7" ht="13.2">
      <c r="E495" s="69"/>
      <c r="G495" s="69"/>
    </row>
    <row r="496" spans="5:7" ht="13.2">
      <c r="E496" s="69"/>
      <c r="G496" s="69"/>
    </row>
    <row r="497" spans="5:7" ht="13.2">
      <c r="E497" s="69"/>
      <c r="G497" s="69"/>
    </row>
    <row r="498" spans="5:7" ht="13.2">
      <c r="E498" s="69"/>
      <c r="G498" s="69"/>
    </row>
    <row r="499" spans="5:7" ht="13.2">
      <c r="E499" s="69"/>
      <c r="G499" s="69"/>
    </row>
    <row r="500" spans="5:7" ht="13.2">
      <c r="E500" s="69"/>
      <c r="G500" s="69"/>
    </row>
    <row r="501" spans="5:7" ht="13.2">
      <c r="E501" s="69"/>
      <c r="G501" s="69"/>
    </row>
    <row r="502" spans="5:7" ht="13.2">
      <c r="E502" s="69"/>
      <c r="G502" s="69"/>
    </row>
    <row r="503" spans="5:7" ht="13.2">
      <c r="E503" s="69"/>
      <c r="G503" s="69"/>
    </row>
    <row r="504" spans="5:7" ht="13.2">
      <c r="E504" s="69"/>
      <c r="G504" s="69"/>
    </row>
    <row r="505" spans="5:7" ht="13.2">
      <c r="E505" s="69"/>
      <c r="G505" s="69"/>
    </row>
    <row r="506" spans="5:7" ht="13.2">
      <c r="E506" s="69"/>
      <c r="G506" s="69"/>
    </row>
    <row r="507" spans="5:7" ht="13.2">
      <c r="E507" s="69"/>
      <c r="G507" s="69"/>
    </row>
    <row r="508" spans="5:7" ht="13.2">
      <c r="E508" s="69"/>
      <c r="G508" s="69"/>
    </row>
    <row r="509" spans="5:7" ht="13.2">
      <c r="E509" s="69"/>
      <c r="G509" s="69"/>
    </row>
    <row r="510" spans="5:7" ht="13.2">
      <c r="E510" s="69"/>
      <c r="G510" s="69"/>
    </row>
    <row r="511" spans="5:7" ht="13.2">
      <c r="E511" s="69"/>
      <c r="G511" s="69"/>
    </row>
    <row r="512" spans="5:7" ht="13.2">
      <c r="E512" s="69"/>
      <c r="G512" s="69"/>
    </row>
    <row r="513" spans="5:7" ht="13.2">
      <c r="E513" s="69"/>
      <c r="G513" s="69"/>
    </row>
    <row r="514" spans="5:7" ht="13.2">
      <c r="E514" s="69"/>
      <c r="G514" s="69"/>
    </row>
    <row r="515" spans="5:7" ht="13.2">
      <c r="E515" s="69"/>
      <c r="G515" s="69"/>
    </row>
    <row r="516" spans="5:7" ht="13.2">
      <c r="E516" s="69"/>
      <c r="G516" s="69"/>
    </row>
    <row r="517" spans="5:7" ht="13.2">
      <c r="E517" s="69"/>
      <c r="G517" s="69"/>
    </row>
    <row r="518" spans="5:7" ht="13.2">
      <c r="E518" s="69"/>
      <c r="G518" s="69"/>
    </row>
    <row r="519" spans="5:7" ht="13.2">
      <c r="E519" s="69"/>
      <c r="G519" s="69"/>
    </row>
    <row r="520" spans="5:7" ht="13.2">
      <c r="E520" s="69"/>
      <c r="G520" s="69"/>
    </row>
    <row r="521" spans="5:7" ht="13.2">
      <c r="E521" s="69"/>
      <c r="G521" s="69"/>
    </row>
    <row r="522" spans="5:7" ht="13.2">
      <c r="E522" s="69"/>
      <c r="G522" s="69"/>
    </row>
    <row r="523" spans="5:7" ht="13.2">
      <c r="E523" s="69"/>
      <c r="G523" s="69"/>
    </row>
    <row r="524" spans="5:7" ht="13.2">
      <c r="E524" s="69"/>
      <c r="G524" s="69"/>
    </row>
    <row r="525" spans="5:7" ht="13.2">
      <c r="E525" s="69"/>
      <c r="G525" s="69"/>
    </row>
    <row r="526" spans="5:7" ht="13.2">
      <c r="E526" s="69"/>
      <c r="G526" s="69"/>
    </row>
    <row r="527" spans="5:7" ht="13.2">
      <c r="E527" s="69"/>
      <c r="G527" s="69"/>
    </row>
    <row r="528" spans="5:7" ht="13.2">
      <c r="E528" s="69"/>
      <c r="G528" s="69"/>
    </row>
    <row r="529" spans="5:7" ht="13.2">
      <c r="E529" s="69"/>
      <c r="G529" s="69"/>
    </row>
    <row r="530" spans="5:7" ht="13.2">
      <c r="E530" s="69"/>
      <c r="G530" s="69"/>
    </row>
    <row r="531" spans="5:7" ht="13.2">
      <c r="E531" s="69"/>
      <c r="G531" s="69"/>
    </row>
    <row r="532" spans="5:7" ht="13.2">
      <c r="E532" s="69"/>
      <c r="G532" s="69"/>
    </row>
    <row r="533" spans="5:7" ht="13.2">
      <c r="E533" s="69"/>
      <c r="G533" s="69"/>
    </row>
    <row r="534" spans="5:7" ht="13.2">
      <c r="E534" s="69"/>
      <c r="G534" s="69"/>
    </row>
    <row r="535" spans="5:7" ht="13.2">
      <c r="E535" s="69"/>
      <c r="G535" s="69"/>
    </row>
    <row r="536" spans="5:7" ht="13.2">
      <c r="E536" s="69"/>
      <c r="G536" s="69"/>
    </row>
    <row r="537" spans="5:7" ht="13.2">
      <c r="E537" s="69"/>
      <c r="G537" s="69"/>
    </row>
    <row r="538" spans="5:7" ht="13.2">
      <c r="E538" s="69"/>
      <c r="G538" s="69"/>
    </row>
    <row r="539" spans="5:7" ht="13.2">
      <c r="E539" s="69"/>
      <c r="G539" s="69"/>
    </row>
    <row r="540" spans="5:7" ht="13.2">
      <c r="E540" s="69"/>
      <c r="G540" s="69"/>
    </row>
    <row r="541" spans="5:7" ht="13.2">
      <c r="E541" s="69"/>
      <c r="G541" s="69"/>
    </row>
    <row r="542" spans="5:7" ht="13.2">
      <c r="E542" s="69"/>
      <c r="G542" s="69"/>
    </row>
    <row r="543" spans="5:7" ht="13.2">
      <c r="E543" s="69"/>
      <c r="G543" s="69"/>
    </row>
    <row r="544" spans="5:7" ht="13.2">
      <c r="E544" s="69"/>
      <c r="G544" s="69"/>
    </row>
    <row r="545" spans="5:7" ht="13.2">
      <c r="E545" s="69"/>
      <c r="G545" s="69"/>
    </row>
    <row r="546" spans="5:7" ht="13.2">
      <c r="E546" s="69"/>
      <c r="G546" s="69"/>
    </row>
    <row r="547" spans="5:7" ht="13.2">
      <c r="E547" s="69"/>
      <c r="G547" s="69"/>
    </row>
    <row r="548" spans="5:7" ht="13.2">
      <c r="E548" s="69"/>
      <c r="G548" s="69"/>
    </row>
    <row r="549" spans="5:7" ht="13.2">
      <c r="E549" s="69"/>
      <c r="G549" s="69"/>
    </row>
    <row r="550" spans="5:7" ht="13.2">
      <c r="E550" s="69"/>
      <c r="G550" s="69"/>
    </row>
    <row r="551" spans="5:7" ht="13.2">
      <c r="E551" s="69"/>
      <c r="G551" s="69"/>
    </row>
    <row r="552" spans="5:7" ht="13.2">
      <c r="E552" s="69"/>
      <c r="G552" s="69"/>
    </row>
    <row r="553" spans="5:7" ht="13.2">
      <c r="E553" s="69"/>
      <c r="G553" s="69"/>
    </row>
    <row r="554" spans="5:7" ht="13.2">
      <c r="E554" s="69"/>
      <c r="G554" s="69"/>
    </row>
    <row r="555" spans="5:7" ht="13.2">
      <c r="E555" s="69"/>
      <c r="G555" s="69"/>
    </row>
    <row r="556" spans="5:7" ht="13.2">
      <c r="E556" s="69"/>
      <c r="G556" s="69"/>
    </row>
    <row r="557" spans="5:7" ht="13.2">
      <c r="E557" s="69"/>
      <c r="G557" s="69"/>
    </row>
    <row r="558" spans="5:7" ht="13.2">
      <c r="E558" s="69"/>
      <c r="G558" s="69"/>
    </row>
    <row r="559" spans="5:7" ht="13.2">
      <c r="E559" s="69"/>
      <c r="G559" s="69"/>
    </row>
    <row r="560" spans="5:7" ht="13.2">
      <c r="E560" s="69"/>
      <c r="G560" s="69"/>
    </row>
    <row r="561" spans="5:7" ht="13.2">
      <c r="E561" s="69"/>
      <c r="G561" s="69"/>
    </row>
    <row r="562" spans="5:7" ht="13.2">
      <c r="E562" s="69"/>
      <c r="G562" s="69"/>
    </row>
    <row r="563" spans="5:7" ht="13.2">
      <c r="E563" s="69"/>
      <c r="G563" s="69"/>
    </row>
    <row r="564" spans="5:7" ht="13.2">
      <c r="E564" s="69"/>
      <c r="G564" s="69"/>
    </row>
    <row r="565" spans="5:7" ht="13.2">
      <c r="E565" s="69"/>
      <c r="G565" s="69"/>
    </row>
    <row r="566" spans="5:7" ht="13.2">
      <c r="E566" s="69"/>
      <c r="G566" s="69"/>
    </row>
    <row r="567" spans="5:7" ht="13.2">
      <c r="E567" s="69"/>
      <c r="G567" s="69"/>
    </row>
    <row r="568" spans="5:7" ht="13.2">
      <c r="E568" s="69"/>
      <c r="G568" s="69"/>
    </row>
    <row r="569" spans="5:7" ht="13.2">
      <c r="E569" s="69"/>
      <c r="G569" s="69"/>
    </row>
    <row r="570" spans="5:7" ht="13.2">
      <c r="E570" s="69"/>
      <c r="G570" s="69"/>
    </row>
    <row r="571" spans="5:7" ht="13.2">
      <c r="E571" s="69"/>
      <c r="G571" s="69"/>
    </row>
    <row r="572" spans="5:7" ht="13.2">
      <c r="E572" s="69"/>
      <c r="G572" s="69"/>
    </row>
    <row r="573" spans="5:7" ht="13.2">
      <c r="E573" s="69"/>
      <c r="G573" s="69"/>
    </row>
    <row r="574" spans="5:7" ht="13.2">
      <c r="E574" s="69"/>
      <c r="G574" s="69"/>
    </row>
    <row r="575" spans="5:7" ht="13.2">
      <c r="E575" s="69"/>
      <c r="G575" s="69"/>
    </row>
    <row r="576" spans="5:7" ht="13.2">
      <c r="E576" s="69"/>
      <c r="G576" s="69"/>
    </row>
    <row r="577" spans="5:7" ht="13.2">
      <c r="E577" s="69"/>
      <c r="G577" s="69"/>
    </row>
    <row r="578" spans="5:7" ht="13.2">
      <c r="E578" s="69"/>
      <c r="G578" s="69"/>
    </row>
    <row r="579" spans="5:7" ht="13.2">
      <c r="E579" s="69"/>
      <c r="G579" s="69"/>
    </row>
    <row r="580" spans="5:7" ht="13.2">
      <c r="E580" s="69"/>
      <c r="G580" s="69"/>
    </row>
    <row r="581" spans="5:7" ht="13.2">
      <c r="E581" s="69"/>
      <c r="G581" s="69"/>
    </row>
    <row r="582" spans="5:7" ht="13.2">
      <c r="E582" s="69"/>
      <c r="G582" s="69"/>
    </row>
    <row r="583" spans="5:7" ht="13.2">
      <c r="E583" s="69"/>
      <c r="G583" s="69"/>
    </row>
    <row r="584" spans="5:7" ht="13.2">
      <c r="E584" s="69"/>
      <c r="G584" s="69"/>
    </row>
    <row r="585" spans="5:7" ht="13.2">
      <c r="E585" s="69"/>
      <c r="G585" s="69"/>
    </row>
    <row r="586" spans="5:7" ht="13.2">
      <c r="E586" s="69"/>
      <c r="G586" s="69"/>
    </row>
    <row r="587" spans="5:7" ht="13.2">
      <c r="E587" s="69"/>
      <c r="G587" s="69"/>
    </row>
    <row r="588" spans="5:7" ht="13.2">
      <c r="E588" s="69"/>
      <c r="G588" s="69"/>
    </row>
    <row r="589" spans="5:7" ht="13.2">
      <c r="E589" s="69"/>
      <c r="G589" s="69"/>
    </row>
    <row r="590" spans="5:7" ht="13.2">
      <c r="E590" s="69"/>
      <c r="G590" s="69"/>
    </row>
    <row r="591" spans="5:7" ht="13.2">
      <c r="E591" s="69"/>
      <c r="G591" s="69"/>
    </row>
    <row r="592" spans="5:7" ht="13.2">
      <c r="E592" s="69"/>
      <c r="G592" s="69"/>
    </row>
    <row r="593" spans="5:7" ht="13.2">
      <c r="E593" s="69"/>
      <c r="G593" s="69"/>
    </row>
    <row r="594" spans="5:7" ht="13.2">
      <c r="E594" s="69"/>
      <c r="G594" s="69"/>
    </row>
    <row r="595" spans="5:7" ht="13.2">
      <c r="E595" s="69"/>
      <c r="G595" s="69"/>
    </row>
    <row r="596" spans="5:7" ht="13.2">
      <c r="E596" s="69"/>
      <c r="G596" s="69"/>
    </row>
    <row r="597" spans="5:7" ht="13.2">
      <c r="E597" s="69"/>
      <c r="G597" s="69"/>
    </row>
    <row r="598" spans="5:7" ht="13.2">
      <c r="E598" s="69"/>
      <c r="G598" s="69"/>
    </row>
    <row r="599" spans="5:7" ht="13.2">
      <c r="E599" s="69"/>
      <c r="G599" s="69"/>
    </row>
    <row r="600" spans="5:7" ht="13.2">
      <c r="E600" s="69"/>
      <c r="G600" s="69"/>
    </row>
    <row r="601" spans="5:7" ht="13.2">
      <c r="E601" s="69"/>
      <c r="G601" s="69"/>
    </row>
    <row r="602" spans="5:7" ht="13.2">
      <c r="E602" s="69"/>
      <c r="G602" s="69"/>
    </row>
    <row r="603" spans="5:7" ht="13.2">
      <c r="E603" s="69"/>
      <c r="G603" s="69"/>
    </row>
    <row r="604" spans="5:7" ht="13.2">
      <c r="E604" s="69"/>
      <c r="G604" s="69"/>
    </row>
    <row r="605" spans="5:7" ht="13.2">
      <c r="E605" s="69"/>
      <c r="G605" s="69"/>
    </row>
    <row r="606" spans="5:7" ht="13.2">
      <c r="E606" s="69"/>
      <c r="G606" s="69"/>
    </row>
    <row r="607" spans="5:7" ht="13.2">
      <c r="E607" s="69"/>
      <c r="G607" s="69"/>
    </row>
    <row r="608" spans="5:7" ht="13.2">
      <c r="E608" s="69"/>
      <c r="G608" s="69"/>
    </row>
    <row r="609" spans="5:7" ht="13.2">
      <c r="E609" s="69"/>
      <c r="G609" s="69"/>
    </row>
    <row r="610" spans="5:7" ht="13.2">
      <c r="E610" s="69"/>
      <c r="G610" s="69"/>
    </row>
    <row r="611" spans="5:7" ht="13.2">
      <c r="E611" s="69"/>
      <c r="G611" s="69"/>
    </row>
    <row r="612" spans="5:7" ht="13.2">
      <c r="E612" s="69"/>
      <c r="G612" s="69"/>
    </row>
    <row r="613" spans="5:7" ht="13.2">
      <c r="E613" s="69"/>
      <c r="G613" s="69"/>
    </row>
    <row r="614" spans="5:7" ht="13.2">
      <c r="E614" s="69"/>
      <c r="G614" s="69"/>
    </row>
    <row r="615" spans="5:7" ht="13.2">
      <c r="E615" s="69"/>
      <c r="G615" s="69"/>
    </row>
    <row r="616" spans="5:7" ht="13.2">
      <c r="E616" s="69"/>
      <c r="G616" s="69"/>
    </row>
    <row r="617" spans="5:7" ht="13.2">
      <c r="E617" s="69"/>
      <c r="G617" s="69"/>
    </row>
    <row r="618" spans="5:7" ht="13.2">
      <c r="E618" s="69"/>
      <c r="G618" s="69"/>
    </row>
    <row r="619" spans="5:7" ht="13.2">
      <c r="E619" s="69"/>
      <c r="G619" s="69"/>
    </row>
    <row r="620" spans="5:7" ht="13.2">
      <c r="E620" s="69"/>
      <c r="G620" s="69"/>
    </row>
    <row r="621" spans="5:7" ht="13.2">
      <c r="E621" s="69"/>
      <c r="G621" s="69"/>
    </row>
    <row r="622" spans="5:7" ht="13.2">
      <c r="E622" s="69"/>
      <c r="G622" s="69"/>
    </row>
    <row r="623" spans="5:7" ht="13.2">
      <c r="E623" s="69"/>
      <c r="G623" s="69"/>
    </row>
    <row r="624" spans="5:7" ht="13.2">
      <c r="E624" s="69"/>
      <c r="G624" s="69"/>
    </row>
    <row r="625" spans="5:7" ht="13.2">
      <c r="E625" s="69"/>
      <c r="G625" s="69"/>
    </row>
    <row r="626" spans="5:7" ht="13.2">
      <c r="E626" s="69"/>
      <c r="G626" s="69"/>
    </row>
    <row r="627" spans="5:7" ht="13.2">
      <c r="E627" s="69"/>
      <c r="G627" s="69"/>
    </row>
    <row r="628" spans="5:7" ht="13.2">
      <c r="E628" s="69"/>
      <c r="G628" s="69"/>
    </row>
    <row r="629" spans="5:7" ht="13.2">
      <c r="E629" s="69"/>
      <c r="G629" s="69"/>
    </row>
    <row r="630" spans="5:7" ht="13.2">
      <c r="E630" s="69"/>
      <c r="G630" s="69"/>
    </row>
    <row r="631" spans="5:7" ht="13.2">
      <c r="E631" s="69"/>
      <c r="G631" s="69"/>
    </row>
    <row r="632" spans="5:7" ht="13.2">
      <c r="E632" s="69"/>
      <c r="G632" s="69"/>
    </row>
    <row r="633" spans="5:7" ht="13.2">
      <c r="E633" s="69"/>
      <c r="G633" s="69"/>
    </row>
    <row r="634" spans="5:7" ht="13.2">
      <c r="E634" s="69"/>
      <c r="G634" s="69"/>
    </row>
    <row r="635" spans="5:7" ht="13.2">
      <c r="E635" s="69"/>
      <c r="G635" s="69"/>
    </row>
    <row r="636" spans="5:7" ht="13.2">
      <c r="E636" s="69"/>
      <c r="G636" s="69"/>
    </row>
    <row r="637" spans="5:7" ht="13.2">
      <c r="E637" s="69"/>
      <c r="G637" s="69"/>
    </row>
    <row r="638" spans="5:7" ht="13.2">
      <c r="E638" s="69"/>
      <c r="G638" s="69"/>
    </row>
    <row r="639" spans="5:7" ht="13.2">
      <c r="E639" s="69"/>
      <c r="G639" s="69"/>
    </row>
    <row r="640" spans="5:7" ht="13.2">
      <c r="E640" s="69"/>
      <c r="G640" s="69"/>
    </row>
    <row r="641" spans="5:7" ht="13.2">
      <c r="E641" s="69"/>
      <c r="G641" s="69"/>
    </row>
    <row r="642" spans="5:7" ht="13.2">
      <c r="E642" s="69"/>
      <c r="G642" s="69"/>
    </row>
    <row r="643" spans="5:7" ht="13.2">
      <c r="E643" s="69"/>
      <c r="G643" s="69"/>
    </row>
    <row r="644" spans="5:7" ht="13.2">
      <c r="E644" s="69"/>
      <c r="G644" s="69"/>
    </row>
    <row r="645" spans="5:7" ht="13.2">
      <c r="E645" s="69"/>
      <c r="G645" s="69"/>
    </row>
    <row r="646" spans="5:7" ht="13.2">
      <c r="E646" s="69"/>
      <c r="G646" s="69"/>
    </row>
    <row r="647" spans="5:7" ht="13.2">
      <c r="E647" s="69"/>
      <c r="G647" s="69"/>
    </row>
    <row r="648" spans="5:7" ht="13.2">
      <c r="E648" s="69"/>
      <c r="G648" s="69"/>
    </row>
    <row r="649" spans="5:7" ht="13.2">
      <c r="E649" s="69"/>
      <c r="G649" s="69"/>
    </row>
    <row r="650" spans="5:7" ht="13.2">
      <c r="E650" s="69"/>
      <c r="G650" s="69"/>
    </row>
    <row r="651" spans="5:7" ht="13.2">
      <c r="E651" s="69"/>
      <c r="G651" s="69"/>
    </row>
    <row r="652" spans="5:7" ht="13.2">
      <c r="E652" s="69"/>
      <c r="G652" s="69"/>
    </row>
    <row r="653" spans="5:7" ht="13.2">
      <c r="E653" s="69"/>
      <c r="G653" s="69"/>
    </row>
    <row r="654" spans="5:7" ht="13.2">
      <c r="E654" s="69"/>
      <c r="G654" s="69"/>
    </row>
    <row r="655" spans="5:7" ht="13.2">
      <c r="E655" s="69"/>
      <c r="G655" s="69"/>
    </row>
    <row r="656" spans="5:7" ht="13.2">
      <c r="E656" s="69"/>
      <c r="G656" s="69"/>
    </row>
    <row r="657" spans="5:7" ht="13.2">
      <c r="E657" s="69"/>
      <c r="G657" s="69"/>
    </row>
    <row r="658" spans="5:7" ht="13.2">
      <c r="E658" s="69"/>
      <c r="G658" s="69"/>
    </row>
    <row r="659" spans="5:7" ht="13.2">
      <c r="E659" s="69"/>
      <c r="G659" s="69"/>
    </row>
    <row r="660" spans="5:7" ht="13.2">
      <c r="E660" s="69"/>
      <c r="G660" s="69"/>
    </row>
    <row r="661" spans="5:7" ht="13.2">
      <c r="E661" s="69"/>
      <c r="G661" s="69"/>
    </row>
    <row r="662" spans="5:7" ht="13.2">
      <c r="E662" s="69"/>
      <c r="G662" s="69"/>
    </row>
    <row r="663" spans="5:7" ht="13.2">
      <c r="E663" s="69"/>
      <c r="G663" s="69"/>
    </row>
    <row r="664" spans="5:7" ht="13.2">
      <c r="E664" s="69"/>
      <c r="G664" s="69"/>
    </row>
    <row r="665" spans="5:7" ht="13.2">
      <c r="E665" s="69"/>
      <c r="G665" s="69"/>
    </row>
    <row r="666" spans="5:7" ht="13.2">
      <c r="E666" s="69"/>
      <c r="G666" s="69"/>
    </row>
    <row r="667" spans="5:7" ht="13.2">
      <c r="E667" s="69"/>
      <c r="G667" s="69"/>
    </row>
    <row r="668" spans="5:7" ht="13.2">
      <c r="E668" s="69"/>
      <c r="G668" s="69"/>
    </row>
    <row r="669" spans="5:7" ht="13.2">
      <c r="E669" s="69"/>
      <c r="G669" s="69"/>
    </row>
    <row r="670" spans="5:7" ht="13.2">
      <c r="E670" s="69"/>
      <c r="G670" s="69"/>
    </row>
    <row r="671" spans="5:7" ht="13.2">
      <c r="E671" s="69"/>
      <c r="G671" s="69"/>
    </row>
    <row r="672" spans="5:7" ht="13.2">
      <c r="E672" s="69"/>
      <c r="G672" s="69"/>
    </row>
    <row r="673" spans="5:7" ht="13.2">
      <c r="E673" s="69"/>
      <c r="G673" s="69"/>
    </row>
    <row r="674" spans="5:7" ht="13.2">
      <c r="E674" s="69"/>
      <c r="G674" s="69"/>
    </row>
    <row r="675" spans="5:7" ht="13.2">
      <c r="E675" s="69"/>
      <c r="G675" s="69"/>
    </row>
    <row r="676" spans="5:7" ht="13.2">
      <c r="E676" s="69"/>
      <c r="G676" s="69"/>
    </row>
    <row r="677" spans="5:7" ht="13.2">
      <c r="E677" s="69"/>
      <c r="G677" s="69"/>
    </row>
    <row r="678" spans="5:7" ht="13.2">
      <c r="E678" s="69"/>
      <c r="G678" s="69"/>
    </row>
    <row r="679" spans="5:7" ht="13.2">
      <c r="E679" s="69"/>
      <c r="G679" s="69"/>
    </row>
    <row r="680" spans="5:7" ht="13.2">
      <c r="E680" s="69"/>
      <c r="G680" s="69"/>
    </row>
    <row r="681" spans="5:7" ht="13.2">
      <c r="E681" s="69"/>
      <c r="G681" s="69"/>
    </row>
    <row r="682" spans="5:7" ht="13.2">
      <c r="E682" s="69"/>
      <c r="G682" s="69"/>
    </row>
    <row r="683" spans="5:7" ht="13.2">
      <c r="E683" s="69"/>
      <c r="G683" s="69"/>
    </row>
    <row r="684" spans="5:7" ht="13.2">
      <c r="E684" s="69"/>
      <c r="G684" s="69"/>
    </row>
    <row r="685" spans="5:7" ht="13.2">
      <c r="E685" s="69"/>
      <c r="G685" s="69"/>
    </row>
    <row r="686" spans="5:7" ht="13.2">
      <c r="E686" s="69"/>
      <c r="G686" s="69"/>
    </row>
    <row r="687" spans="5:7" ht="13.2">
      <c r="E687" s="69"/>
      <c r="G687" s="69"/>
    </row>
    <row r="688" spans="5:7" ht="13.2">
      <c r="E688" s="69"/>
      <c r="G688" s="69"/>
    </row>
    <row r="689" spans="5:7" ht="13.2">
      <c r="E689" s="69"/>
      <c r="G689" s="69"/>
    </row>
    <row r="690" spans="5:7" ht="13.2">
      <c r="E690" s="69"/>
      <c r="G690" s="69"/>
    </row>
    <row r="691" spans="5:7" ht="13.2">
      <c r="E691" s="69"/>
      <c r="G691" s="69"/>
    </row>
    <row r="692" spans="5:7" ht="13.2">
      <c r="E692" s="69"/>
      <c r="G692" s="69"/>
    </row>
    <row r="693" spans="5:7" ht="13.2">
      <c r="E693" s="69"/>
      <c r="G693" s="69"/>
    </row>
    <row r="694" spans="5:7" ht="13.2">
      <c r="E694" s="69"/>
      <c r="G694" s="69"/>
    </row>
    <row r="695" spans="5:7" ht="13.2">
      <c r="E695" s="69"/>
      <c r="G695" s="69"/>
    </row>
    <row r="696" spans="5:7" ht="13.2">
      <c r="E696" s="69"/>
      <c r="G696" s="69"/>
    </row>
    <row r="697" spans="5:7" ht="13.2">
      <c r="E697" s="69"/>
      <c r="G697" s="69"/>
    </row>
    <row r="698" spans="5:7" ht="13.2">
      <c r="E698" s="69"/>
      <c r="G698" s="69"/>
    </row>
    <row r="699" spans="5:7" ht="13.2">
      <c r="E699" s="69"/>
      <c r="G699" s="69"/>
    </row>
    <row r="700" spans="5:7" ht="13.2">
      <c r="E700" s="69"/>
      <c r="G700" s="69"/>
    </row>
    <row r="701" spans="5:7" ht="13.2">
      <c r="E701" s="69"/>
      <c r="G701" s="69"/>
    </row>
    <row r="702" spans="5:7" ht="13.2">
      <c r="E702" s="69"/>
      <c r="G702" s="69"/>
    </row>
    <row r="703" spans="5:7" ht="13.2">
      <c r="E703" s="69"/>
      <c r="G703" s="69"/>
    </row>
    <row r="704" spans="5:7" ht="13.2">
      <c r="E704" s="69"/>
      <c r="G704" s="69"/>
    </row>
    <row r="705" spans="5:7" ht="13.2">
      <c r="E705" s="69"/>
      <c r="G705" s="69"/>
    </row>
    <row r="706" spans="5:7" ht="13.2">
      <c r="E706" s="69"/>
      <c r="G706" s="69"/>
    </row>
    <row r="707" spans="5:7" ht="13.2">
      <c r="E707" s="69"/>
      <c r="G707" s="69"/>
    </row>
    <row r="708" spans="5:7" ht="13.2">
      <c r="E708" s="69"/>
      <c r="G708" s="69"/>
    </row>
    <row r="709" spans="5:7" ht="13.2">
      <c r="E709" s="69"/>
      <c r="G709" s="69"/>
    </row>
    <row r="710" spans="5:7" ht="13.2">
      <c r="E710" s="69"/>
      <c r="G710" s="69"/>
    </row>
    <row r="711" spans="5:7" ht="13.2">
      <c r="E711" s="69"/>
      <c r="G711" s="69"/>
    </row>
    <row r="712" spans="5:7" ht="13.2">
      <c r="E712" s="69"/>
      <c r="G712" s="69"/>
    </row>
    <row r="713" spans="5:7" ht="13.2">
      <c r="E713" s="69"/>
      <c r="G713" s="69"/>
    </row>
    <row r="714" spans="5:7" ht="13.2">
      <c r="E714" s="69"/>
      <c r="G714" s="69"/>
    </row>
    <row r="715" spans="5:7" ht="13.2">
      <c r="E715" s="69"/>
      <c r="G715" s="69"/>
    </row>
    <row r="716" spans="5:7" ht="13.2">
      <c r="E716" s="69"/>
      <c r="G716" s="69"/>
    </row>
    <row r="717" spans="5:7" ht="13.2">
      <c r="E717" s="69"/>
      <c r="G717" s="69"/>
    </row>
    <row r="718" spans="5:7" ht="13.2">
      <c r="E718" s="69"/>
      <c r="G718" s="69"/>
    </row>
    <row r="719" spans="5:7" ht="13.2">
      <c r="E719" s="69"/>
      <c r="G719" s="69"/>
    </row>
    <row r="720" spans="5:7" ht="13.2">
      <c r="E720" s="69"/>
      <c r="G720" s="69"/>
    </row>
    <row r="721" spans="5:7" ht="13.2">
      <c r="E721" s="69"/>
      <c r="G721" s="69"/>
    </row>
    <row r="722" spans="5:7" ht="13.2">
      <c r="E722" s="69"/>
      <c r="G722" s="69"/>
    </row>
    <row r="723" spans="5:7" ht="13.2">
      <c r="E723" s="69"/>
      <c r="G723" s="69"/>
    </row>
    <row r="724" spans="5:7" ht="13.2">
      <c r="E724" s="69"/>
      <c r="G724" s="69"/>
    </row>
    <row r="725" spans="5:7" ht="13.2">
      <c r="E725" s="69"/>
      <c r="G725" s="69"/>
    </row>
    <row r="726" spans="5:7" ht="13.2">
      <c r="E726" s="69"/>
      <c r="G726" s="69"/>
    </row>
    <row r="727" spans="5:7" ht="13.2">
      <c r="E727" s="69"/>
      <c r="G727" s="69"/>
    </row>
    <row r="728" spans="5:7" ht="13.2">
      <c r="E728" s="69"/>
      <c r="G728" s="69"/>
    </row>
    <row r="729" spans="5:7" ht="13.2">
      <c r="E729" s="69"/>
      <c r="G729" s="69"/>
    </row>
    <row r="730" spans="5:7" ht="13.2">
      <c r="E730" s="69"/>
      <c r="G730" s="69"/>
    </row>
    <row r="731" spans="5:7" ht="13.2">
      <c r="E731" s="69"/>
      <c r="G731" s="69"/>
    </row>
    <row r="732" spans="5:7" ht="13.2">
      <c r="E732" s="69"/>
      <c r="G732" s="69"/>
    </row>
    <row r="733" spans="5:7" ht="13.2">
      <c r="E733" s="69"/>
      <c r="G733" s="69"/>
    </row>
    <row r="734" spans="5:7" ht="13.2">
      <c r="E734" s="69"/>
      <c r="G734" s="69"/>
    </row>
    <row r="735" spans="5:7" ht="13.2">
      <c r="E735" s="69"/>
      <c r="G735" s="69"/>
    </row>
    <row r="736" spans="5:7" ht="13.2">
      <c r="E736" s="69"/>
      <c r="G736" s="69"/>
    </row>
    <row r="737" spans="5:7" ht="13.2">
      <c r="E737" s="69"/>
      <c r="G737" s="69"/>
    </row>
    <row r="738" spans="5:7" ht="13.2">
      <c r="E738" s="69"/>
      <c r="G738" s="69"/>
    </row>
    <row r="739" spans="5:7" ht="13.2">
      <c r="E739" s="69"/>
      <c r="G739" s="69"/>
    </row>
    <row r="740" spans="5:7" ht="13.2">
      <c r="E740" s="69"/>
      <c r="G740" s="69"/>
    </row>
    <row r="741" spans="5:7" ht="13.2">
      <c r="E741" s="69"/>
      <c r="G741" s="69"/>
    </row>
    <row r="742" spans="5:7" ht="13.2">
      <c r="E742" s="69"/>
      <c r="G742" s="69"/>
    </row>
    <row r="743" spans="5:7" ht="13.2">
      <c r="E743" s="69"/>
      <c r="G743" s="69"/>
    </row>
    <row r="744" spans="5:7" ht="13.2">
      <c r="E744" s="69"/>
      <c r="G744" s="69"/>
    </row>
    <row r="745" spans="5:7" ht="13.2">
      <c r="E745" s="69"/>
      <c r="G745" s="69"/>
    </row>
    <row r="746" spans="5:7" ht="13.2">
      <c r="E746" s="69"/>
      <c r="G746" s="69"/>
    </row>
    <row r="747" spans="5:7" ht="13.2">
      <c r="E747" s="69"/>
      <c r="G747" s="69"/>
    </row>
    <row r="748" spans="5:7" ht="13.2">
      <c r="E748" s="69"/>
      <c r="G748" s="69"/>
    </row>
    <row r="749" spans="5:7" ht="13.2">
      <c r="E749" s="69"/>
      <c r="G749" s="69"/>
    </row>
    <row r="750" spans="5:7" ht="13.2">
      <c r="E750" s="69"/>
      <c r="G750" s="69"/>
    </row>
    <row r="751" spans="5:7" ht="13.2">
      <c r="E751" s="69"/>
      <c r="G751" s="69"/>
    </row>
    <row r="752" spans="5:7" ht="13.2">
      <c r="E752" s="69"/>
      <c r="G752" s="69"/>
    </row>
    <row r="753" spans="5:7" ht="13.2">
      <c r="E753" s="69"/>
      <c r="G753" s="69"/>
    </row>
    <row r="754" spans="5:7" ht="13.2">
      <c r="E754" s="69"/>
      <c r="G754" s="69"/>
    </row>
    <row r="755" spans="5:7" ht="13.2">
      <c r="E755" s="69"/>
      <c r="G755" s="69"/>
    </row>
    <row r="756" spans="5:7" ht="13.2">
      <c r="E756" s="69"/>
      <c r="G756" s="69"/>
    </row>
    <row r="757" spans="5:7" ht="13.2">
      <c r="E757" s="69"/>
      <c r="G757" s="69"/>
    </row>
    <row r="758" spans="5:7" ht="13.2">
      <c r="E758" s="69"/>
      <c r="G758" s="69"/>
    </row>
    <row r="759" spans="5:7" ht="13.2">
      <c r="E759" s="69"/>
      <c r="G759" s="69"/>
    </row>
    <row r="760" spans="5:7" ht="13.2">
      <c r="E760" s="69"/>
      <c r="G760" s="69"/>
    </row>
    <row r="761" spans="5:7" ht="13.2">
      <c r="E761" s="69"/>
      <c r="G761" s="69"/>
    </row>
    <row r="762" spans="5:7" ht="13.2">
      <c r="E762" s="69"/>
      <c r="G762" s="69"/>
    </row>
    <row r="763" spans="5:7" ht="13.2">
      <c r="E763" s="69"/>
      <c r="G763" s="69"/>
    </row>
    <row r="764" spans="5:7" ht="13.2">
      <c r="E764" s="69"/>
      <c r="G764" s="69"/>
    </row>
    <row r="765" spans="5:7" ht="13.2">
      <c r="E765" s="69"/>
      <c r="G765" s="69"/>
    </row>
    <row r="766" spans="5:7" ht="13.2">
      <c r="E766" s="69"/>
      <c r="G766" s="69"/>
    </row>
    <row r="767" spans="5:7" ht="13.2">
      <c r="E767" s="69"/>
      <c r="G767" s="69"/>
    </row>
    <row r="768" spans="5:7" ht="13.2">
      <c r="E768" s="69"/>
      <c r="G768" s="69"/>
    </row>
    <row r="769" spans="5:7" ht="13.2">
      <c r="E769" s="69"/>
      <c r="G769" s="69"/>
    </row>
    <row r="770" spans="5:7" ht="13.2">
      <c r="E770" s="69"/>
      <c r="G770" s="69"/>
    </row>
    <row r="771" spans="5:7" ht="13.2">
      <c r="E771" s="69"/>
      <c r="G771" s="69"/>
    </row>
    <row r="772" spans="5:7" ht="13.2">
      <c r="E772" s="69"/>
      <c r="G772" s="69"/>
    </row>
    <row r="773" spans="5:7" ht="13.2">
      <c r="E773" s="69"/>
      <c r="G773" s="69"/>
    </row>
    <row r="774" spans="5:7" ht="13.2">
      <c r="E774" s="69"/>
      <c r="G774" s="69"/>
    </row>
    <row r="775" spans="5:7" ht="13.2">
      <c r="E775" s="69"/>
      <c r="G775" s="69"/>
    </row>
    <row r="776" spans="5:7" ht="13.2">
      <c r="E776" s="69"/>
      <c r="G776" s="69"/>
    </row>
    <row r="777" spans="5:7" ht="13.2">
      <c r="E777" s="69"/>
      <c r="G777" s="69"/>
    </row>
    <row r="778" spans="5:7" ht="13.2">
      <c r="E778" s="69"/>
      <c r="G778" s="69"/>
    </row>
    <row r="779" spans="5:7" ht="13.2">
      <c r="E779" s="69"/>
      <c r="G779" s="69"/>
    </row>
    <row r="780" spans="5:7" ht="13.2">
      <c r="E780" s="69"/>
      <c r="G780" s="69"/>
    </row>
    <row r="781" spans="5:7" ht="13.2">
      <c r="E781" s="69"/>
      <c r="G781" s="69"/>
    </row>
    <row r="782" spans="5:7" ht="13.2">
      <c r="E782" s="69"/>
      <c r="G782" s="69"/>
    </row>
    <row r="783" spans="5:7" ht="13.2">
      <c r="E783" s="69"/>
      <c r="G783" s="69"/>
    </row>
    <row r="784" spans="5:7" ht="13.2">
      <c r="E784" s="69"/>
      <c r="G784" s="69"/>
    </row>
    <row r="785" spans="5:7" ht="13.2">
      <c r="E785" s="69"/>
      <c r="G785" s="69"/>
    </row>
    <row r="786" spans="5:7" ht="13.2">
      <c r="E786" s="69"/>
      <c r="G786" s="69"/>
    </row>
    <row r="787" spans="5:7" ht="13.2">
      <c r="E787" s="69"/>
      <c r="G787" s="69"/>
    </row>
    <row r="788" spans="5:7" ht="13.2">
      <c r="E788" s="69"/>
      <c r="G788" s="69"/>
    </row>
    <row r="789" spans="5:7" ht="13.2">
      <c r="E789" s="69"/>
      <c r="G789" s="69"/>
    </row>
    <row r="790" spans="5:7" ht="13.2">
      <c r="E790" s="69"/>
      <c r="G790" s="69"/>
    </row>
    <row r="791" spans="5:7" ht="13.2">
      <c r="E791" s="69"/>
      <c r="G791" s="69"/>
    </row>
    <row r="792" spans="5:7" ht="13.2">
      <c r="E792" s="69"/>
      <c r="G792" s="69"/>
    </row>
    <row r="793" spans="5:7" ht="13.2">
      <c r="E793" s="69"/>
      <c r="G793" s="69"/>
    </row>
    <row r="794" spans="5:7" ht="13.2">
      <c r="E794" s="69"/>
      <c r="G794" s="69"/>
    </row>
    <row r="795" spans="5:7" ht="13.2">
      <c r="E795" s="69"/>
      <c r="G795" s="69"/>
    </row>
    <row r="796" spans="5:7" ht="13.2">
      <c r="E796" s="69"/>
      <c r="G796" s="69"/>
    </row>
    <row r="797" spans="5:7" ht="13.2">
      <c r="E797" s="69"/>
      <c r="G797" s="69"/>
    </row>
    <row r="798" spans="5:7" ht="13.2">
      <c r="E798" s="69"/>
      <c r="G798" s="69"/>
    </row>
    <row r="799" spans="5:7" ht="13.2">
      <c r="E799" s="69"/>
      <c r="G799" s="69"/>
    </row>
    <row r="800" spans="5:7" ht="13.2">
      <c r="E800" s="69"/>
      <c r="G800" s="69"/>
    </row>
    <row r="801" spans="5:7" ht="13.2">
      <c r="E801" s="69"/>
      <c r="G801" s="69"/>
    </row>
    <row r="802" spans="5:7" ht="13.2">
      <c r="E802" s="69"/>
      <c r="G802" s="69"/>
    </row>
    <row r="803" spans="5:7" ht="13.2">
      <c r="E803" s="69"/>
      <c r="G803" s="69"/>
    </row>
    <row r="804" spans="5:7" ht="13.2">
      <c r="E804" s="69"/>
      <c r="G804" s="69"/>
    </row>
    <row r="805" spans="5:7" ht="13.2">
      <c r="E805" s="69"/>
      <c r="G805" s="69"/>
    </row>
    <row r="806" spans="5:7" ht="13.2">
      <c r="E806" s="69"/>
      <c r="G806" s="69"/>
    </row>
    <row r="807" spans="5:7" ht="13.2">
      <c r="E807" s="69"/>
      <c r="G807" s="69"/>
    </row>
    <row r="808" spans="5:7" ht="13.2">
      <c r="E808" s="69"/>
      <c r="G808" s="69"/>
    </row>
    <row r="809" spans="5:7" ht="13.2">
      <c r="E809" s="69"/>
      <c r="G809" s="69"/>
    </row>
    <row r="810" spans="5:7" ht="13.2">
      <c r="E810" s="69"/>
      <c r="G810" s="69"/>
    </row>
    <row r="811" spans="5:7" ht="13.2">
      <c r="E811" s="69"/>
      <c r="G811" s="69"/>
    </row>
    <row r="812" spans="5:7" ht="13.2">
      <c r="E812" s="69"/>
      <c r="G812" s="69"/>
    </row>
    <row r="813" spans="5:7" ht="13.2">
      <c r="E813" s="69"/>
      <c r="G813" s="69"/>
    </row>
    <row r="814" spans="5:7" ht="13.2">
      <c r="E814" s="69"/>
      <c r="G814" s="69"/>
    </row>
    <row r="815" spans="5:7" ht="13.2">
      <c r="E815" s="69"/>
      <c r="G815" s="69"/>
    </row>
    <row r="816" spans="5:7" ht="13.2">
      <c r="E816" s="69"/>
      <c r="G816" s="69"/>
    </row>
    <row r="817" spans="5:7" ht="13.2">
      <c r="E817" s="69"/>
      <c r="G817" s="69"/>
    </row>
    <row r="818" spans="5:7" ht="13.2">
      <c r="E818" s="69"/>
      <c r="G818" s="69"/>
    </row>
    <row r="819" spans="5:7" ht="13.2">
      <c r="E819" s="69"/>
      <c r="G819" s="69"/>
    </row>
    <row r="820" spans="5:7" ht="13.2">
      <c r="E820" s="69"/>
      <c r="G820" s="69"/>
    </row>
    <row r="821" spans="5:7" ht="13.2">
      <c r="E821" s="69"/>
      <c r="G821" s="69"/>
    </row>
    <row r="822" spans="5:7" ht="13.2">
      <c r="E822" s="69"/>
      <c r="G822" s="69"/>
    </row>
    <row r="823" spans="5:7" ht="13.2">
      <c r="E823" s="69"/>
      <c r="G823" s="69"/>
    </row>
    <row r="824" spans="5:7" ht="13.2">
      <c r="E824" s="69"/>
      <c r="G824" s="69"/>
    </row>
    <row r="825" spans="5:7" ht="13.2">
      <c r="E825" s="69"/>
      <c r="G825" s="69"/>
    </row>
    <row r="826" spans="5:7" ht="13.2">
      <c r="E826" s="69"/>
      <c r="G826" s="69"/>
    </row>
    <row r="827" spans="5:7" ht="13.2">
      <c r="E827" s="69"/>
      <c r="G827" s="69"/>
    </row>
    <row r="828" spans="5:7" ht="13.2">
      <c r="E828" s="69"/>
      <c r="G828" s="69"/>
    </row>
    <row r="829" spans="5:7" ht="13.2">
      <c r="E829" s="69"/>
      <c r="G829" s="69"/>
    </row>
    <row r="830" spans="5:7" ht="13.2">
      <c r="E830" s="69"/>
      <c r="G830" s="69"/>
    </row>
    <row r="831" spans="5:7" ht="13.2">
      <c r="E831" s="69"/>
      <c r="G831" s="69"/>
    </row>
    <row r="832" spans="5:7" ht="13.2">
      <c r="E832" s="69"/>
      <c r="G832" s="69"/>
    </row>
    <row r="833" spans="5:7" ht="13.2">
      <c r="E833" s="69"/>
      <c r="G833" s="69"/>
    </row>
    <row r="834" spans="5:7" ht="13.2">
      <c r="E834" s="69"/>
      <c r="G834" s="69"/>
    </row>
    <row r="835" spans="5:7" ht="13.2">
      <c r="E835" s="69"/>
      <c r="G835" s="69"/>
    </row>
    <row r="836" spans="5:7" ht="13.2">
      <c r="E836" s="69"/>
      <c r="G836" s="69"/>
    </row>
    <row r="837" spans="5:7" ht="13.2">
      <c r="E837" s="69"/>
      <c r="G837" s="69"/>
    </row>
    <row r="838" spans="5:7" ht="13.2">
      <c r="E838" s="69"/>
      <c r="G838" s="69"/>
    </row>
    <row r="839" spans="5:7" ht="13.2">
      <c r="E839" s="69"/>
      <c r="G839" s="69"/>
    </row>
    <row r="840" spans="5:7" ht="13.2">
      <c r="E840" s="69"/>
      <c r="G840" s="69"/>
    </row>
    <row r="841" spans="5:7" ht="13.2">
      <c r="E841" s="69"/>
      <c r="G841" s="69"/>
    </row>
    <row r="842" spans="5:7" ht="13.2">
      <c r="E842" s="69"/>
      <c r="G842" s="69"/>
    </row>
    <row r="843" spans="5:7" ht="13.2">
      <c r="E843" s="69"/>
      <c r="G843" s="69"/>
    </row>
    <row r="844" spans="5:7" ht="13.2">
      <c r="E844" s="69"/>
      <c r="G844" s="69"/>
    </row>
    <row r="845" spans="5:7" ht="13.2">
      <c r="E845" s="69"/>
      <c r="G845" s="69"/>
    </row>
    <row r="846" spans="5:7" ht="13.2">
      <c r="E846" s="69"/>
      <c r="G846" s="69"/>
    </row>
    <row r="847" spans="5:7" ht="13.2">
      <c r="E847" s="69"/>
      <c r="G847" s="69"/>
    </row>
    <row r="848" spans="5:7" ht="13.2">
      <c r="E848" s="69"/>
      <c r="G848" s="69"/>
    </row>
    <row r="849" spans="5:7" ht="13.2">
      <c r="E849" s="69"/>
      <c r="G849" s="69"/>
    </row>
    <row r="850" spans="5:7" ht="13.2">
      <c r="E850" s="69"/>
      <c r="G850" s="69"/>
    </row>
    <row r="851" spans="5:7" ht="13.2">
      <c r="E851" s="69"/>
      <c r="G851" s="69"/>
    </row>
    <row r="852" spans="5:7" ht="13.2">
      <c r="E852" s="69"/>
      <c r="G852" s="69"/>
    </row>
    <row r="853" spans="5:7" ht="13.2">
      <c r="E853" s="69"/>
      <c r="G853" s="69"/>
    </row>
    <row r="854" spans="5:7" ht="13.2">
      <c r="E854" s="69"/>
      <c r="G854" s="69"/>
    </row>
    <row r="855" spans="5:7" ht="13.2">
      <c r="E855" s="69"/>
      <c r="G855" s="69"/>
    </row>
    <row r="856" spans="5:7" ht="13.2">
      <c r="E856" s="69"/>
      <c r="G856" s="69"/>
    </row>
    <row r="857" spans="5:7" ht="13.2">
      <c r="E857" s="69"/>
      <c r="G857" s="69"/>
    </row>
    <row r="858" spans="5:7" ht="13.2">
      <c r="E858" s="69"/>
      <c r="G858" s="69"/>
    </row>
    <row r="859" spans="5:7" ht="13.2">
      <c r="E859" s="69"/>
      <c r="G859" s="69"/>
    </row>
    <row r="860" spans="5:7" ht="13.2">
      <c r="E860" s="69"/>
      <c r="G860" s="69"/>
    </row>
    <row r="861" spans="5:7" ht="13.2">
      <c r="E861" s="69"/>
      <c r="G861" s="69"/>
    </row>
    <row r="862" spans="5:7" ht="13.2">
      <c r="E862" s="69"/>
      <c r="G862" s="69"/>
    </row>
    <row r="863" spans="5:7" ht="13.2">
      <c r="E863" s="69"/>
      <c r="G863" s="69"/>
    </row>
    <row r="864" spans="5:7" ht="13.2">
      <c r="E864" s="69"/>
      <c r="G864" s="69"/>
    </row>
    <row r="865" spans="5:7" ht="13.2">
      <c r="E865" s="69"/>
      <c r="G865" s="69"/>
    </row>
    <row r="866" spans="5:7" ht="13.2">
      <c r="E866" s="69"/>
      <c r="G866" s="69"/>
    </row>
    <row r="867" spans="5:7" ht="13.2">
      <c r="E867" s="69"/>
      <c r="G867" s="69"/>
    </row>
    <row r="868" spans="5:7" ht="13.2">
      <c r="E868" s="69"/>
      <c r="G868" s="69"/>
    </row>
    <row r="869" spans="5:7" ht="13.2">
      <c r="E869" s="69"/>
      <c r="G869" s="69"/>
    </row>
    <row r="870" spans="5:7" ht="13.2">
      <c r="E870" s="69"/>
      <c r="G870" s="69"/>
    </row>
    <row r="871" spans="5:7" ht="13.2">
      <c r="E871" s="69"/>
      <c r="G871" s="69"/>
    </row>
    <row r="872" spans="5:7" ht="13.2">
      <c r="E872" s="69"/>
      <c r="G872" s="69"/>
    </row>
    <row r="873" spans="5:7" ht="13.2">
      <c r="E873" s="69"/>
      <c r="G873" s="69"/>
    </row>
    <row r="874" spans="5:7" ht="13.2">
      <c r="E874" s="69"/>
      <c r="G874" s="69"/>
    </row>
    <row r="875" spans="5:7" ht="13.2">
      <c r="E875" s="69"/>
      <c r="G875" s="69"/>
    </row>
    <row r="876" spans="5:7" ht="13.2">
      <c r="E876" s="69"/>
      <c r="G876" s="69"/>
    </row>
    <row r="877" spans="5:7" ht="13.2">
      <c r="E877" s="69"/>
      <c r="G877" s="69"/>
    </row>
    <row r="878" spans="5:7" ht="13.2">
      <c r="E878" s="69"/>
      <c r="G878" s="69"/>
    </row>
    <row r="879" spans="5:7" ht="13.2">
      <c r="E879" s="69"/>
      <c r="G879" s="69"/>
    </row>
    <row r="880" spans="5:7" ht="13.2">
      <c r="E880" s="69"/>
      <c r="G880" s="69"/>
    </row>
    <row r="881" spans="5:7" ht="13.2">
      <c r="E881" s="69"/>
      <c r="G881" s="69"/>
    </row>
    <row r="882" spans="5:7" ht="13.2">
      <c r="E882" s="69"/>
      <c r="G882" s="69"/>
    </row>
    <row r="883" spans="5:7" ht="13.2">
      <c r="E883" s="69"/>
      <c r="G883" s="69"/>
    </row>
    <row r="884" spans="5:7" ht="13.2">
      <c r="E884" s="69"/>
      <c r="G884" s="69"/>
    </row>
    <row r="885" spans="5:7" ht="13.2">
      <c r="E885" s="69"/>
      <c r="G885" s="69"/>
    </row>
    <row r="886" spans="5:7" ht="13.2">
      <c r="E886" s="69"/>
      <c r="G886" s="69"/>
    </row>
    <row r="887" spans="5:7" ht="13.2">
      <c r="E887" s="69"/>
      <c r="G887" s="69"/>
    </row>
    <row r="888" spans="5:7" ht="13.2">
      <c r="E888" s="69"/>
      <c r="G888" s="69"/>
    </row>
    <row r="889" spans="5:7" ht="13.2">
      <c r="E889" s="69"/>
      <c r="G889" s="69"/>
    </row>
    <row r="890" spans="5:7" ht="13.2">
      <c r="E890" s="69"/>
      <c r="G890" s="69"/>
    </row>
    <row r="891" spans="5:7" ht="13.2">
      <c r="E891" s="69"/>
      <c r="G891" s="69"/>
    </row>
    <row r="892" spans="5:7" ht="13.2">
      <c r="E892" s="69"/>
      <c r="G892" s="69"/>
    </row>
    <row r="893" spans="5:7" ht="13.2">
      <c r="E893" s="69"/>
      <c r="G893" s="69"/>
    </row>
    <row r="894" spans="5:7" ht="13.2">
      <c r="E894" s="69"/>
      <c r="G894" s="69"/>
    </row>
    <row r="895" spans="5:7" ht="13.2">
      <c r="E895" s="69"/>
      <c r="G895" s="69"/>
    </row>
    <row r="896" spans="5:7" ht="13.2">
      <c r="E896" s="69"/>
      <c r="G896" s="69"/>
    </row>
    <row r="897" spans="5:7" ht="13.2">
      <c r="E897" s="69"/>
      <c r="G897" s="69"/>
    </row>
    <row r="898" spans="5:7" ht="13.2">
      <c r="E898" s="69"/>
      <c r="G898" s="69"/>
    </row>
    <row r="899" spans="5:7" ht="13.2">
      <c r="E899" s="69"/>
      <c r="G899" s="69"/>
    </row>
    <row r="900" spans="5:7" ht="13.2">
      <c r="E900" s="69"/>
      <c r="G900" s="69"/>
    </row>
    <row r="901" spans="5:7" ht="13.2">
      <c r="E901" s="69"/>
      <c r="G901" s="69"/>
    </row>
    <row r="902" spans="5:7" ht="13.2">
      <c r="E902" s="69"/>
      <c r="G902" s="69"/>
    </row>
    <row r="903" spans="5:7" ht="13.2">
      <c r="E903" s="69"/>
      <c r="G903" s="69"/>
    </row>
    <row r="904" spans="5:7" ht="13.2">
      <c r="E904" s="69"/>
      <c r="G904" s="69"/>
    </row>
    <row r="905" spans="5:7" ht="13.2">
      <c r="E905" s="69"/>
      <c r="G905" s="69"/>
    </row>
    <row r="906" spans="5:7" ht="13.2">
      <c r="E906" s="69"/>
      <c r="G906" s="69"/>
    </row>
    <row r="907" spans="5:7" ht="13.2">
      <c r="E907" s="69"/>
      <c r="G907" s="69"/>
    </row>
    <row r="908" spans="5:7" ht="13.2">
      <c r="E908" s="69"/>
      <c r="G908" s="69"/>
    </row>
    <row r="909" spans="5:7" ht="13.2">
      <c r="E909" s="69"/>
      <c r="G909" s="69"/>
    </row>
    <row r="910" spans="5:7" ht="13.2">
      <c r="E910" s="69"/>
      <c r="G910" s="69"/>
    </row>
    <row r="911" spans="5:7" ht="13.2">
      <c r="E911" s="69"/>
      <c r="G911" s="69"/>
    </row>
    <row r="912" spans="5:7" ht="13.2">
      <c r="E912" s="69"/>
      <c r="G912" s="69"/>
    </row>
    <row r="913" spans="5:7" ht="13.2">
      <c r="E913" s="69"/>
      <c r="G913" s="69"/>
    </row>
    <row r="914" spans="5:7" ht="13.2">
      <c r="E914" s="69"/>
      <c r="G914" s="69"/>
    </row>
    <row r="915" spans="5:7" ht="13.2">
      <c r="E915" s="69"/>
      <c r="G915" s="69"/>
    </row>
    <row r="916" spans="5:7" ht="13.2">
      <c r="E916" s="69"/>
      <c r="G916" s="69"/>
    </row>
    <row r="917" spans="5:7" ht="13.2">
      <c r="E917" s="69"/>
      <c r="G917" s="69"/>
    </row>
    <row r="918" spans="5:7" ht="13.2">
      <c r="E918" s="69"/>
      <c r="G918" s="69"/>
    </row>
    <row r="919" spans="5:7" ht="13.2">
      <c r="E919" s="69"/>
      <c r="G919" s="69"/>
    </row>
    <row r="920" spans="5:7" ht="13.2">
      <c r="E920" s="69"/>
      <c r="G920" s="69"/>
    </row>
    <row r="921" spans="5:7" ht="13.2">
      <c r="E921" s="69"/>
      <c r="G921" s="69"/>
    </row>
    <row r="922" spans="5:7" ht="13.2">
      <c r="E922" s="69"/>
      <c r="G922" s="69"/>
    </row>
    <row r="923" spans="5:7" ht="13.2">
      <c r="E923" s="69"/>
      <c r="G923" s="69"/>
    </row>
    <row r="924" spans="5:7" ht="13.2">
      <c r="E924" s="69"/>
      <c r="G924" s="69"/>
    </row>
    <row r="925" spans="5:7" ht="13.2">
      <c r="E925" s="69"/>
      <c r="G925" s="69"/>
    </row>
    <row r="926" spans="5:7" ht="13.2">
      <c r="E926" s="69"/>
      <c r="G926" s="69"/>
    </row>
    <row r="927" spans="5:7" ht="13.2">
      <c r="E927" s="69"/>
      <c r="G927" s="69"/>
    </row>
    <row r="928" spans="5:7" ht="13.2">
      <c r="E928" s="69"/>
      <c r="G928" s="69"/>
    </row>
    <row r="929" spans="5:7" ht="13.2">
      <c r="E929" s="69"/>
      <c r="G929" s="69"/>
    </row>
    <row r="930" spans="5:7" ht="13.2">
      <c r="E930" s="69"/>
      <c r="G930" s="69"/>
    </row>
    <row r="931" spans="5:7" ht="13.2">
      <c r="E931" s="69"/>
      <c r="G931" s="69"/>
    </row>
    <row r="932" spans="5:7" ht="13.2">
      <c r="E932" s="69"/>
      <c r="G932" s="69"/>
    </row>
    <row r="933" spans="5:7" ht="13.2">
      <c r="E933" s="69"/>
      <c r="G933" s="69"/>
    </row>
    <row r="934" spans="5:7" ht="13.2">
      <c r="E934" s="69"/>
      <c r="G934" s="69"/>
    </row>
    <row r="935" spans="5:7" ht="13.2">
      <c r="E935" s="69"/>
      <c r="G935" s="69"/>
    </row>
    <row r="936" spans="5:7" ht="13.2">
      <c r="E936" s="69"/>
      <c r="G936" s="69"/>
    </row>
    <row r="937" spans="5:7" ht="13.2">
      <c r="E937" s="69"/>
      <c r="G937" s="69"/>
    </row>
    <row r="938" spans="5:7" ht="13.2">
      <c r="E938" s="69"/>
      <c r="G938" s="69"/>
    </row>
    <row r="939" spans="5:7" ht="13.2">
      <c r="E939" s="69"/>
      <c r="G939" s="69"/>
    </row>
    <row r="940" spans="5:7" ht="13.2">
      <c r="E940" s="69"/>
      <c r="G940" s="69"/>
    </row>
    <row r="941" spans="5:7" ht="13.2">
      <c r="E941" s="69"/>
      <c r="G941" s="69"/>
    </row>
    <row r="942" spans="5:7" ht="13.2">
      <c r="E942" s="69"/>
      <c r="G942" s="69"/>
    </row>
    <row r="943" spans="5:7" ht="13.2">
      <c r="E943" s="69"/>
      <c r="G943" s="69"/>
    </row>
    <row r="944" spans="5:7" ht="13.2">
      <c r="E944" s="69"/>
      <c r="G944" s="69"/>
    </row>
    <row r="945" spans="5:7" ht="13.2">
      <c r="E945" s="69"/>
      <c r="G945" s="69"/>
    </row>
    <row r="946" spans="5:7" ht="13.2">
      <c r="E946" s="69"/>
      <c r="G946" s="69"/>
    </row>
    <row r="947" spans="5:7" ht="13.2">
      <c r="E947" s="69"/>
      <c r="G947" s="69"/>
    </row>
    <row r="948" spans="5:7" ht="13.2">
      <c r="E948" s="69"/>
      <c r="G948" s="69"/>
    </row>
    <row r="949" spans="5:7" ht="13.2">
      <c r="E949" s="69"/>
      <c r="G949" s="69"/>
    </row>
    <row r="950" spans="5:7" ht="13.2">
      <c r="E950" s="69"/>
      <c r="G950" s="69"/>
    </row>
    <row r="951" spans="5:7" ht="13.2">
      <c r="E951" s="69"/>
      <c r="G951" s="69"/>
    </row>
    <row r="952" spans="5:7" ht="13.2">
      <c r="E952" s="69"/>
      <c r="G952" s="69"/>
    </row>
    <row r="953" spans="5:7" ht="13.2">
      <c r="E953" s="69"/>
      <c r="G953" s="69"/>
    </row>
    <row r="954" spans="5:7" ht="13.2">
      <c r="E954" s="69"/>
      <c r="G954" s="69"/>
    </row>
    <row r="955" spans="5:7" ht="13.2">
      <c r="E955" s="69"/>
      <c r="G955" s="69"/>
    </row>
    <row r="956" spans="5:7" ht="13.2">
      <c r="E956" s="69"/>
      <c r="G956" s="69"/>
    </row>
    <row r="957" spans="5:7" ht="13.2">
      <c r="E957" s="69"/>
      <c r="G957" s="69"/>
    </row>
    <row r="958" spans="5:7" ht="13.2">
      <c r="E958" s="69"/>
      <c r="G958" s="69"/>
    </row>
    <row r="959" spans="5:7" ht="13.2">
      <c r="E959" s="69"/>
      <c r="G959" s="69"/>
    </row>
    <row r="960" spans="5:7" ht="13.2">
      <c r="E960" s="69"/>
      <c r="G960" s="69"/>
    </row>
    <row r="961" spans="5:7" ht="13.2">
      <c r="E961" s="69"/>
      <c r="G961" s="69"/>
    </row>
    <row r="962" spans="5:7" ht="13.2">
      <c r="E962" s="69"/>
      <c r="G962" s="69"/>
    </row>
    <row r="963" spans="5:7" ht="13.2">
      <c r="E963" s="69"/>
      <c r="G963" s="69"/>
    </row>
    <row r="964" spans="5:7" ht="13.2">
      <c r="E964" s="69"/>
      <c r="G964" s="69"/>
    </row>
    <row r="965" spans="5:7" ht="13.2">
      <c r="E965" s="69"/>
      <c r="G965" s="69"/>
    </row>
    <row r="966" spans="5:7" ht="13.2">
      <c r="E966" s="69"/>
      <c r="G966" s="69"/>
    </row>
    <row r="967" spans="5:7" ht="13.2">
      <c r="E967" s="69"/>
      <c r="G967" s="69"/>
    </row>
    <row r="968" spans="5:7" ht="13.2">
      <c r="E968" s="69"/>
      <c r="G968" s="69"/>
    </row>
    <row r="969" spans="5:7" ht="13.2">
      <c r="E969" s="69"/>
      <c r="G969" s="69"/>
    </row>
    <row r="970" spans="5:7" ht="13.2">
      <c r="E970" s="69"/>
      <c r="G970" s="69"/>
    </row>
    <row r="971" spans="5:7" ht="13.2">
      <c r="E971" s="69"/>
      <c r="G971" s="69"/>
    </row>
    <row r="972" spans="5:7" ht="13.2">
      <c r="E972" s="69"/>
      <c r="G972" s="69"/>
    </row>
    <row r="973" spans="5:7" ht="13.2">
      <c r="E973" s="69"/>
      <c r="G973" s="69"/>
    </row>
    <row r="974" spans="5:7" ht="13.2">
      <c r="E974" s="69"/>
      <c r="G974" s="69"/>
    </row>
    <row r="975" spans="5:7" ht="13.2">
      <c r="E975" s="69"/>
      <c r="G975" s="69"/>
    </row>
    <row r="976" spans="5:7" ht="13.2">
      <c r="E976" s="69"/>
      <c r="G976" s="69"/>
    </row>
    <row r="977" spans="5:7" ht="13.2">
      <c r="E977" s="69"/>
      <c r="G977" s="69"/>
    </row>
    <row r="978" spans="5:7" ht="13.2">
      <c r="E978" s="69"/>
      <c r="G978" s="69"/>
    </row>
    <row r="979" spans="5:7" ht="13.2">
      <c r="E979" s="69"/>
      <c r="G979" s="69"/>
    </row>
    <row r="980" spans="5:7" ht="13.2">
      <c r="E980" s="69"/>
      <c r="G980" s="69"/>
    </row>
    <row r="981" spans="5:7" ht="13.2">
      <c r="E981" s="69"/>
      <c r="G981" s="69"/>
    </row>
    <row r="982" spans="5:7" ht="13.2">
      <c r="E982" s="69"/>
      <c r="G982" s="69"/>
    </row>
    <row r="983" spans="5:7" ht="13.2">
      <c r="E983" s="69"/>
      <c r="G983" s="69"/>
    </row>
    <row r="984" spans="5:7" ht="13.2">
      <c r="E984" s="69"/>
      <c r="G984" s="69"/>
    </row>
    <row r="985" spans="5:7" ht="13.2">
      <c r="E985" s="69"/>
      <c r="G985" s="69"/>
    </row>
    <row r="986" spans="5:7" ht="13.2">
      <c r="E986" s="69"/>
      <c r="G986" s="69"/>
    </row>
    <row r="987" spans="5:7" ht="13.2">
      <c r="E987" s="69"/>
      <c r="G987" s="69"/>
    </row>
    <row r="988" spans="5:7" ht="13.2">
      <c r="E988" s="69"/>
      <c r="G988" s="69"/>
    </row>
    <row r="989" spans="5:7" ht="13.2">
      <c r="E989" s="69"/>
      <c r="G989" s="69"/>
    </row>
    <row r="990" spans="5:7" ht="13.2">
      <c r="E990" s="69"/>
      <c r="G990" s="69"/>
    </row>
    <row r="991" spans="5:7" ht="13.2">
      <c r="E991" s="69"/>
      <c r="G991" s="69"/>
    </row>
    <row r="992" spans="5:7" ht="13.2">
      <c r="E992" s="69"/>
      <c r="G992" s="69"/>
    </row>
    <row r="993" spans="5:7" ht="13.2">
      <c r="E993" s="69"/>
      <c r="G993" s="69"/>
    </row>
    <row r="994" spans="5:7" ht="13.2">
      <c r="E994" s="69"/>
      <c r="G994" s="69"/>
    </row>
    <row r="995" spans="5:7" ht="13.2">
      <c r="E995" s="69"/>
      <c r="G995" s="69"/>
    </row>
    <row r="996" spans="5:7" ht="13.2">
      <c r="E996" s="69"/>
      <c r="G996" s="69"/>
    </row>
    <row r="997" spans="5:7" ht="13.2">
      <c r="E997" s="69"/>
      <c r="G997" s="69"/>
    </row>
    <row r="998" spans="5:7" ht="13.2">
      <c r="E998" s="69"/>
      <c r="G998" s="69"/>
    </row>
    <row r="999" spans="5:7" ht="13.2">
      <c r="E999" s="69"/>
      <c r="G999" s="69"/>
    </row>
    <row r="1000" spans="5:7" ht="13.2">
      <c r="E1000" s="69"/>
      <c r="G1000" s="69"/>
    </row>
    <row r="1001" spans="5:7" ht="13.2">
      <c r="E1001" s="69"/>
      <c r="G1001" s="69"/>
    </row>
    <row r="1002" spans="5:7" ht="13.2">
      <c r="E1002" s="69"/>
      <c r="G1002" s="69"/>
    </row>
    <row r="1003" spans="5:7" ht="13.2">
      <c r="E1003" s="69"/>
      <c r="G1003" s="69"/>
    </row>
    <row r="1004" spans="5:7" ht="13.2">
      <c r="E1004" s="69"/>
      <c r="G1004" s="69"/>
    </row>
  </sheetData>
  <mergeCells count="6">
    <mergeCell ref="A6:L6"/>
    <mergeCell ref="A1:L1"/>
    <mergeCell ref="A2:L2"/>
    <mergeCell ref="A3:L3"/>
    <mergeCell ref="A4:K4"/>
    <mergeCell ref="A5:K5"/>
  </mergeCells>
  <conditionalFormatting sqref="E8:I69">
    <cfRule type="containsBlanks" dxfId="8" priority="1">
      <formula>LEN(TRIM(E8))=0</formula>
    </cfRule>
    <cfRule type="cellIs" dxfId="7" priority="2" operator="lessThan">
      <formula>50</formula>
    </cfRule>
    <cfRule type="cellIs" dxfId="6" priority="3" operator="equal">
      <formula>"A"</formula>
    </cfRule>
  </conditionalFormatting>
  <printOptions horizontalCentered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1004"/>
  <sheetViews>
    <sheetView topLeftCell="A64" workbookViewId="0">
      <selection activeCell="H21" activeCellId="1" sqref="J86 H21"/>
    </sheetView>
  </sheetViews>
  <sheetFormatPr defaultColWidth="12.6640625" defaultRowHeight="15.75" customHeight="1"/>
  <cols>
    <col min="1" max="1" width="6" customWidth="1"/>
    <col min="2" max="2" width="14.5546875" customWidth="1"/>
    <col min="3" max="3" width="49.44140625" customWidth="1"/>
    <col min="4" max="4" width="12.6640625" hidden="1"/>
    <col min="5" max="5" width="10.6640625" customWidth="1"/>
    <col min="6" max="6" width="10.109375" customWidth="1"/>
    <col min="7" max="7" width="8.77734375" customWidth="1"/>
    <col min="8" max="8" width="8.33203125" customWidth="1"/>
    <col min="9" max="9" width="11.21875" customWidth="1"/>
    <col min="10" max="10" width="6.77734375" customWidth="1"/>
    <col min="11" max="11" width="8.6640625" customWidth="1"/>
    <col min="12" max="13" width="12.6640625" hidden="1"/>
    <col min="14" max="14" width="7.88671875" customWidth="1"/>
  </cols>
  <sheetData>
    <row r="1" spans="1:14" ht="2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"/>
      <c r="N1" s="1"/>
    </row>
    <row r="2" spans="1:14" ht="15">
      <c r="A2" s="105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"/>
      <c r="N2" s="1"/>
    </row>
    <row r="3" spans="1:14" ht="17.399999999999999">
      <c r="A3" s="106" t="s">
        <v>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"/>
      <c r="N3" s="1"/>
    </row>
    <row r="4" spans="1:14" ht="17.399999999999999">
      <c r="A4" s="107" t="s">
        <v>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2"/>
      <c r="M4" s="1"/>
      <c r="N4" s="1"/>
    </row>
    <row r="5" spans="1:14" ht="15.6">
      <c r="A5" s="108" t="s">
        <v>4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"/>
      <c r="M5" s="1"/>
      <c r="N5" s="1"/>
    </row>
    <row r="6" spans="1:14" ht="21">
      <c r="A6" s="109" t="s">
        <v>94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"/>
      <c r="N6" s="1"/>
    </row>
    <row r="7" spans="1:14" ht="41.4">
      <c r="A7" s="3" t="s">
        <v>6</v>
      </c>
      <c r="B7" s="4" t="s">
        <v>7</v>
      </c>
      <c r="C7" s="4" t="s">
        <v>8</v>
      </c>
      <c r="D7" s="5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7" t="s">
        <v>15</v>
      </c>
      <c r="K7" s="5" t="s">
        <v>16</v>
      </c>
      <c r="L7" s="70"/>
      <c r="M7" s="1" t="s">
        <v>17</v>
      </c>
      <c r="N7" s="71" t="s">
        <v>18</v>
      </c>
    </row>
    <row r="8" spans="1:14" ht="15.6">
      <c r="A8" s="11">
        <v>1</v>
      </c>
      <c r="B8" s="72">
        <v>111625201063</v>
      </c>
      <c r="C8" s="73" t="s">
        <v>95</v>
      </c>
      <c r="D8" s="14"/>
      <c r="E8" s="74">
        <v>98</v>
      </c>
      <c r="F8" s="74">
        <v>77</v>
      </c>
      <c r="G8" s="12">
        <v>96</v>
      </c>
      <c r="H8" s="75">
        <v>83.333333333333343</v>
      </c>
      <c r="I8" s="74">
        <v>83</v>
      </c>
      <c r="J8" s="20">
        <f t="shared" ref="J8:J69" si="0">SUM(E8:I8)/5</f>
        <v>87.466666666666669</v>
      </c>
      <c r="K8" s="21">
        <f t="shared" ref="K8:K69" si="1">((COUNTIF((E8:I8),"&lt;50"))+(COUNTIF((E8:I8),"=A")))</f>
        <v>0</v>
      </c>
      <c r="L8" s="22" t="str">
        <f t="shared" ref="L8:L22" si="2">IF((K8&lt;1),"0","1")</f>
        <v>0</v>
      </c>
      <c r="M8" s="23">
        <f t="shared" ref="M8:M22" si="3">COUNTIF((E8:I8),"=A")</f>
        <v>0</v>
      </c>
      <c r="N8" s="24">
        <v>98</v>
      </c>
    </row>
    <row r="9" spans="1:14" ht="15.6">
      <c r="A9" s="11">
        <v>2</v>
      </c>
      <c r="B9" s="72">
        <v>111625201064</v>
      </c>
      <c r="C9" s="73" t="s">
        <v>96</v>
      </c>
      <c r="D9" s="14"/>
      <c r="E9" s="74">
        <v>81</v>
      </c>
      <c r="F9" s="74">
        <v>60</v>
      </c>
      <c r="G9" s="12">
        <v>63</v>
      </c>
      <c r="H9" s="76" t="s">
        <v>20</v>
      </c>
      <c r="I9" s="74">
        <v>63</v>
      </c>
      <c r="J9" s="20">
        <f t="shared" si="0"/>
        <v>53.4</v>
      </c>
      <c r="K9" s="21">
        <f t="shared" si="1"/>
        <v>1</v>
      </c>
      <c r="L9" s="22" t="str">
        <f t="shared" si="2"/>
        <v>1</v>
      </c>
      <c r="M9" s="23">
        <f t="shared" si="3"/>
        <v>1</v>
      </c>
      <c r="N9" s="24">
        <v>94</v>
      </c>
    </row>
    <row r="10" spans="1:14" ht="15" customHeight="1">
      <c r="A10" s="11">
        <v>3</v>
      </c>
      <c r="B10" s="72">
        <v>111625201065</v>
      </c>
      <c r="C10" s="73" t="s">
        <v>97</v>
      </c>
      <c r="D10" s="14"/>
      <c r="E10" s="74">
        <v>50</v>
      </c>
      <c r="F10" s="74">
        <v>80</v>
      </c>
      <c r="G10" s="12">
        <v>36</v>
      </c>
      <c r="H10" s="75">
        <v>60</v>
      </c>
      <c r="I10" s="74">
        <v>73</v>
      </c>
      <c r="J10" s="20">
        <f t="shared" si="0"/>
        <v>59.8</v>
      </c>
      <c r="K10" s="21">
        <f t="shared" si="1"/>
        <v>1</v>
      </c>
      <c r="L10" s="22" t="str">
        <f t="shared" si="2"/>
        <v>1</v>
      </c>
      <c r="M10" s="23">
        <f t="shared" si="3"/>
        <v>0</v>
      </c>
      <c r="N10" s="24">
        <v>98</v>
      </c>
    </row>
    <row r="11" spans="1:14" ht="19.5" customHeight="1">
      <c r="A11" s="11">
        <v>4</v>
      </c>
      <c r="B11" s="72">
        <v>111625201066</v>
      </c>
      <c r="C11" s="73" t="s">
        <v>98</v>
      </c>
      <c r="D11" s="14"/>
      <c r="E11" s="74">
        <v>74</v>
      </c>
      <c r="F11" s="74">
        <v>90</v>
      </c>
      <c r="G11" s="12">
        <v>86</v>
      </c>
      <c r="H11" s="75">
        <v>90</v>
      </c>
      <c r="I11" s="74">
        <v>83</v>
      </c>
      <c r="J11" s="20">
        <f t="shared" si="0"/>
        <v>84.6</v>
      </c>
      <c r="K11" s="21">
        <f t="shared" si="1"/>
        <v>0</v>
      </c>
      <c r="L11" s="22" t="str">
        <f t="shared" si="2"/>
        <v>0</v>
      </c>
      <c r="M11" s="23">
        <f t="shared" si="3"/>
        <v>0</v>
      </c>
      <c r="N11" s="24">
        <v>100</v>
      </c>
    </row>
    <row r="12" spans="1:14" ht="15" customHeight="1">
      <c r="A12" s="11">
        <v>5</v>
      </c>
      <c r="B12" s="72">
        <v>111625201067</v>
      </c>
      <c r="C12" s="73" t="s">
        <v>99</v>
      </c>
      <c r="D12" s="14"/>
      <c r="E12" s="74">
        <v>60</v>
      </c>
      <c r="F12" s="74">
        <v>73</v>
      </c>
      <c r="G12" s="12">
        <v>50</v>
      </c>
      <c r="H12" s="75">
        <v>26.666666666666668</v>
      </c>
      <c r="I12" s="74">
        <v>43</v>
      </c>
      <c r="J12" s="20">
        <f t="shared" si="0"/>
        <v>50.533333333333331</v>
      </c>
      <c r="K12" s="21">
        <f t="shared" si="1"/>
        <v>2</v>
      </c>
      <c r="L12" s="22" t="str">
        <f t="shared" si="2"/>
        <v>1</v>
      </c>
      <c r="M12" s="23">
        <f t="shared" si="3"/>
        <v>0</v>
      </c>
      <c r="N12" s="24">
        <v>100</v>
      </c>
    </row>
    <row r="13" spans="1:14" ht="15" customHeight="1">
      <c r="A13" s="11">
        <v>6</v>
      </c>
      <c r="B13" s="72">
        <v>111625201068</v>
      </c>
      <c r="C13" s="73" t="s">
        <v>100</v>
      </c>
      <c r="D13" s="14"/>
      <c r="E13" s="74">
        <v>12</v>
      </c>
      <c r="F13" s="74">
        <v>80</v>
      </c>
      <c r="G13" s="12">
        <v>23</v>
      </c>
      <c r="H13" s="75">
        <v>73.333333333333329</v>
      </c>
      <c r="I13" s="74">
        <v>50</v>
      </c>
      <c r="J13" s="20">
        <f t="shared" si="0"/>
        <v>47.666666666666664</v>
      </c>
      <c r="K13" s="21">
        <f t="shared" si="1"/>
        <v>2</v>
      </c>
      <c r="L13" s="22" t="str">
        <f t="shared" si="2"/>
        <v>1</v>
      </c>
      <c r="M13" s="23">
        <f t="shared" si="3"/>
        <v>0</v>
      </c>
      <c r="N13" s="24">
        <v>100</v>
      </c>
    </row>
    <row r="14" spans="1:14" ht="16.5" customHeight="1">
      <c r="A14" s="11">
        <v>7</v>
      </c>
      <c r="B14" s="72">
        <v>111625201069</v>
      </c>
      <c r="C14" s="73" t="s">
        <v>101</v>
      </c>
      <c r="D14" s="14"/>
      <c r="E14" s="74">
        <v>50</v>
      </c>
      <c r="F14" s="74">
        <v>50</v>
      </c>
      <c r="G14" s="12">
        <v>66</v>
      </c>
      <c r="H14" s="75">
        <v>60</v>
      </c>
      <c r="I14" s="74">
        <v>50</v>
      </c>
      <c r="J14" s="20">
        <f t="shared" si="0"/>
        <v>55.2</v>
      </c>
      <c r="K14" s="21">
        <f t="shared" si="1"/>
        <v>0</v>
      </c>
      <c r="L14" s="22" t="str">
        <f t="shared" si="2"/>
        <v>0</v>
      </c>
      <c r="M14" s="23">
        <f t="shared" si="3"/>
        <v>0</v>
      </c>
      <c r="N14" s="24">
        <v>96</v>
      </c>
    </row>
    <row r="15" spans="1:14" ht="16.5" customHeight="1">
      <c r="A15" s="11">
        <v>8</v>
      </c>
      <c r="B15" s="72">
        <v>111625201070</v>
      </c>
      <c r="C15" s="73" t="s">
        <v>102</v>
      </c>
      <c r="D15" s="14"/>
      <c r="E15" s="74">
        <v>50</v>
      </c>
      <c r="F15" s="74">
        <v>53</v>
      </c>
      <c r="G15" s="12">
        <v>67</v>
      </c>
      <c r="H15" s="75">
        <v>16.666666666666664</v>
      </c>
      <c r="I15" s="74">
        <v>50</v>
      </c>
      <c r="J15" s="20">
        <f t="shared" si="0"/>
        <v>47.333333333333329</v>
      </c>
      <c r="K15" s="21">
        <f t="shared" si="1"/>
        <v>1</v>
      </c>
      <c r="L15" s="22" t="str">
        <f t="shared" si="2"/>
        <v>1</v>
      </c>
      <c r="M15" s="23">
        <f t="shared" si="3"/>
        <v>0</v>
      </c>
      <c r="N15" s="24">
        <v>100</v>
      </c>
    </row>
    <row r="16" spans="1:14" ht="16.5" customHeight="1">
      <c r="A16" s="11">
        <v>9</v>
      </c>
      <c r="B16" s="72">
        <v>111625201071</v>
      </c>
      <c r="C16" s="73" t="s">
        <v>103</v>
      </c>
      <c r="D16" s="14"/>
      <c r="E16" s="74">
        <v>50</v>
      </c>
      <c r="F16" s="74">
        <v>63</v>
      </c>
      <c r="G16" s="12">
        <v>37</v>
      </c>
      <c r="H16" s="75">
        <v>50</v>
      </c>
      <c r="I16" s="74">
        <v>50</v>
      </c>
      <c r="J16" s="20">
        <f t="shared" si="0"/>
        <v>50</v>
      </c>
      <c r="K16" s="21">
        <f t="shared" si="1"/>
        <v>1</v>
      </c>
      <c r="L16" s="22" t="str">
        <f t="shared" si="2"/>
        <v>1</v>
      </c>
      <c r="M16" s="23">
        <f t="shared" si="3"/>
        <v>0</v>
      </c>
      <c r="N16" s="24">
        <v>100</v>
      </c>
    </row>
    <row r="17" spans="1:14" ht="16.5" customHeight="1">
      <c r="A17" s="11">
        <v>10</v>
      </c>
      <c r="B17" s="72">
        <v>111625201072</v>
      </c>
      <c r="C17" s="73" t="s">
        <v>104</v>
      </c>
      <c r="D17" s="14"/>
      <c r="E17" s="74">
        <v>52</v>
      </c>
      <c r="F17" s="74">
        <v>50</v>
      </c>
      <c r="G17" s="12">
        <v>19</v>
      </c>
      <c r="H17" s="75">
        <v>36.666666666666664</v>
      </c>
      <c r="I17" s="74">
        <v>50</v>
      </c>
      <c r="J17" s="20">
        <f t="shared" si="0"/>
        <v>41.533333333333331</v>
      </c>
      <c r="K17" s="21">
        <f t="shared" si="1"/>
        <v>2</v>
      </c>
      <c r="L17" s="22" t="str">
        <f t="shared" si="2"/>
        <v>1</v>
      </c>
      <c r="M17" s="23">
        <f t="shared" si="3"/>
        <v>0</v>
      </c>
      <c r="N17" s="24">
        <v>98</v>
      </c>
    </row>
    <row r="18" spans="1:14" ht="16.5" customHeight="1">
      <c r="A18" s="11">
        <v>11</v>
      </c>
      <c r="B18" s="72">
        <v>111625201073</v>
      </c>
      <c r="C18" s="73" t="s">
        <v>105</v>
      </c>
      <c r="D18" s="14"/>
      <c r="E18" s="74">
        <v>51</v>
      </c>
      <c r="F18" s="74">
        <v>53</v>
      </c>
      <c r="G18" s="12">
        <v>3</v>
      </c>
      <c r="H18" s="75">
        <v>50</v>
      </c>
      <c r="I18" s="74">
        <v>50</v>
      </c>
      <c r="J18" s="20">
        <f t="shared" si="0"/>
        <v>41.4</v>
      </c>
      <c r="K18" s="21">
        <f t="shared" si="1"/>
        <v>1</v>
      </c>
      <c r="L18" s="22" t="str">
        <f t="shared" si="2"/>
        <v>1</v>
      </c>
      <c r="M18" s="23">
        <f t="shared" si="3"/>
        <v>0</v>
      </c>
      <c r="N18" s="24">
        <v>94</v>
      </c>
    </row>
    <row r="19" spans="1:14" ht="16.5" customHeight="1">
      <c r="A19" s="11">
        <v>12</v>
      </c>
      <c r="B19" s="72">
        <v>111625201074</v>
      </c>
      <c r="C19" s="73" t="s">
        <v>106</v>
      </c>
      <c r="D19" s="14"/>
      <c r="E19" s="74">
        <v>53</v>
      </c>
      <c r="F19" s="74">
        <v>87</v>
      </c>
      <c r="G19" s="12">
        <v>96</v>
      </c>
      <c r="H19" s="75">
        <v>83.333333333333343</v>
      </c>
      <c r="I19" s="74">
        <v>77</v>
      </c>
      <c r="J19" s="20">
        <f t="shared" si="0"/>
        <v>79.26666666666668</v>
      </c>
      <c r="K19" s="21">
        <f t="shared" si="1"/>
        <v>0</v>
      </c>
      <c r="L19" s="22" t="str">
        <f t="shared" si="2"/>
        <v>0</v>
      </c>
      <c r="M19" s="23">
        <f t="shared" si="3"/>
        <v>0</v>
      </c>
      <c r="N19" s="24">
        <v>100</v>
      </c>
    </row>
    <row r="20" spans="1:14" ht="16.5" customHeight="1">
      <c r="A20" s="11">
        <v>13</v>
      </c>
      <c r="B20" s="72">
        <v>111625201075</v>
      </c>
      <c r="C20" s="73" t="s">
        <v>107</v>
      </c>
      <c r="D20" s="14"/>
      <c r="E20" s="74">
        <v>54</v>
      </c>
      <c r="F20" s="74">
        <v>27</v>
      </c>
      <c r="G20" s="12">
        <v>16</v>
      </c>
      <c r="H20" s="75">
        <v>20</v>
      </c>
      <c r="I20" s="74">
        <v>3</v>
      </c>
      <c r="J20" s="20">
        <f t="shared" si="0"/>
        <v>24</v>
      </c>
      <c r="K20" s="21">
        <f t="shared" si="1"/>
        <v>4</v>
      </c>
      <c r="L20" s="22" t="str">
        <f t="shared" si="2"/>
        <v>1</v>
      </c>
      <c r="M20" s="23">
        <f t="shared" si="3"/>
        <v>0</v>
      </c>
      <c r="N20" s="24">
        <v>98</v>
      </c>
    </row>
    <row r="21" spans="1:14" ht="16.5" customHeight="1">
      <c r="A21" s="11">
        <v>14</v>
      </c>
      <c r="B21" s="72">
        <v>111625201076</v>
      </c>
      <c r="C21" s="73" t="s">
        <v>108</v>
      </c>
      <c r="D21" s="14"/>
      <c r="E21" s="74">
        <v>50</v>
      </c>
      <c r="F21" s="74">
        <v>50</v>
      </c>
      <c r="G21" s="12">
        <v>13</v>
      </c>
      <c r="H21" s="75">
        <v>66.666666666666657</v>
      </c>
      <c r="I21" s="74">
        <v>50</v>
      </c>
      <c r="J21" s="20">
        <f t="shared" si="0"/>
        <v>45.93333333333333</v>
      </c>
      <c r="K21" s="21">
        <f t="shared" si="1"/>
        <v>1</v>
      </c>
      <c r="L21" s="22" t="str">
        <f t="shared" si="2"/>
        <v>1</v>
      </c>
      <c r="M21" s="23">
        <f t="shared" si="3"/>
        <v>0</v>
      </c>
      <c r="N21" s="24">
        <v>98</v>
      </c>
    </row>
    <row r="22" spans="1:14" ht="15" customHeight="1">
      <c r="A22" s="11">
        <v>15</v>
      </c>
      <c r="B22" s="72">
        <v>111625201077</v>
      </c>
      <c r="C22" s="73" t="s">
        <v>109</v>
      </c>
      <c r="D22" s="14"/>
      <c r="E22" s="74">
        <v>88</v>
      </c>
      <c r="F22" s="74">
        <v>83</v>
      </c>
      <c r="G22" s="12">
        <v>83</v>
      </c>
      <c r="H22" s="75">
        <v>86.666666666666671</v>
      </c>
      <c r="I22" s="74">
        <v>100</v>
      </c>
      <c r="J22" s="20">
        <f t="shared" si="0"/>
        <v>88.13333333333334</v>
      </c>
      <c r="K22" s="21">
        <f t="shared" si="1"/>
        <v>0</v>
      </c>
      <c r="L22" s="22" t="str">
        <f t="shared" si="2"/>
        <v>0</v>
      </c>
      <c r="M22" s="23">
        <f t="shared" si="3"/>
        <v>0</v>
      </c>
      <c r="N22" s="24">
        <v>100</v>
      </c>
    </row>
    <row r="23" spans="1:14" ht="15" customHeight="1">
      <c r="A23" s="11">
        <v>16</v>
      </c>
      <c r="B23" s="72">
        <v>111625201078</v>
      </c>
      <c r="C23" s="73" t="s">
        <v>110</v>
      </c>
      <c r="D23" s="14"/>
      <c r="E23" s="74">
        <v>56</v>
      </c>
      <c r="F23" s="74">
        <v>63</v>
      </c>
      <c r="G23" s="12">
        <v>80</v>
      </c>
      <c r="H23" s="75">
        <v>76.666666666666671</v>
      </c>
      <c r="I23" s="74">
        <v>50</v>
      </c>
      <c r="J23" s="20">
        <f t="shared" si="0"/>
        <v>65.13333333333334</v>
      </c>
      <c r="K23" s="21">
        <f t="shared" si="1"/>
        <v>0</v>
      </c>
      <c r="L23" s="22"/>
      <c r="M23" s="23"/>
      <c r="N23" s="24">
        <v>100</v>
      </c>
    </row>
    <row r="24" spans="1:14" ht="15" customHeight="1">
      <c r="A24" s="11">
        <v>17</v>
      </c>
      <c r="B24" s="72">
        <v>111625201079</v>
      </c>
      <c r="C24" s="73" t="s">
        <v>111</v>
      </c>
      <c r="D24" s="14"/>
      <c r="E24" s="74">
        <v>74</v>
      </c>
      <c r="F24" s="74">
        <v>57</v>
      </c>
      <c r="G24" s="12">
        <v>50</v>
      </c>
      <c r="H24" s="75">
        <v>60</v>
      </c>
      <c r="I24" s="74">
        <v>73</v>
      </c>
      <c r="J24" s="20">
        <f t="shared" si="0"/>
        <v>62.8</v>
      </c>
      <c r="K24" s="21">
        <f t="shared" si="1"/>
        <v>0</v>
      </c>
      <c r="L24" s="22"/>
      <c r="M24" s="23"/>
      <c r="N24" s="24">
        <v>100</v>
      </c>
    </row>
    <row r="25" spans="1:14" ht="15" customHeight="1">
      <c r="A25" s="11">
        <v>18</v>
      </c>
      <c r="B25" s="72">
        <v>111625201080</v>
      </c>
      <c r="C25" s="73" t="s">
        <v>112</v>
      </c>
      <c r="D25" s="14"/>
      <c r="E25" s="74">
        <v>95</v>
      </c>
      <c r="F25" s="74">
        <v>90</v>
      </c>
      <c r="G25" s="12">
        <v>87</v>
      </c>
      <c r="H25" s="75">
        <v>75</v>
      </c>
      <c r="I25" s="74">
        <v>53</v>
      </c>
      <c r="J25" s="20">
        <f t="shared" si="0"/>
        <v>80</v>
      </c>
      <c r="K25" s="21">
        <f t="shared" si="1"/>
        <v>0</v>
      </c>
      <c r="L25" s="22"/>
      <c r="M25" s="23"/>
      <c r="N25" s="24">
        <v>94</v>
      </c>
    </row>
    <row r="26" spans="1:14" ht="15" customHeight="1">
      <c r="A26" s="11">
        <v>19</v>
      </c>
      <c r="B26" s="72">
        <v>111625201081</v>
      </c>
      <c r="C26" s="73" t="s">
        <v>113</v>
      </c>
      <c r="D26" s="14"/>
      <c r="E26" s="74">
        <v>100</v>
      </c>
      <c r="F26" s="74">
        <v>83</v>
      </c>
      <c r="G26" s="12">
        <v>63</v>
      </c>
      <c r="H26" s="75">
        <v>83.333333333333343</v>
      </c>
      <c r="I26" s="74">
        <v>97</v>
      </c>
      <c r="J26" s="20">
        <f t="shared" si="0"/>
        <v>85.26666666666668</v>
      </c>
      <c r="K26" s="21">
        <f t="shared" si="1"/>
        <v>0</v>
      </c>
      <c r="L26" s="22"/>
      <c r="M26" s="23"/>
      <c r="N26" s="24">
        <v>100</v>
      </c>
    </row>
    <row r="27" spans="1:14" ht="15" customHeight="1">
      <c r="A27" s="11">
        <v>20</v>
      </c>
      <c r="B27" s="72">
        <v>111625201082</v>
      </c>
      <c r="C27" s="73" t="s">
        <v>114</v>
      </c>
      <c r="D27" s="14"/>
      <c r="E27" s="74">
        <v>52</v>
      </c>
      <c r="F27" s="74">
        <v>77</v>
      </c>
      <c r="G27" s="12">
        <v>26</v>
      </c>
      <c r="H27" s="75">
        <v>26.666666666666668</v>
      </c>
      <c r="I27" s="74">
        <v>97</v>
      </c>
      <c r="J27" s="20">
        <f t="shared" si="0"/>
        <v>55.733333333333327</v>
      </c>
      <c r="K27" s="21">
        <f t="shared" si="1"/>
        <v>2</v>
      </c>
      <c r="L27" s="22"/>
      <c r="M27" s="23"/>
      <c r="N27" s="24">
        <v>100</v>
      </c>
    </row>
    <row r="28" spans="1:14" ht="15" customHeight="1">
      <c r="A28" s="11">
        <v>21</v>
      </c>
      <c r="B28" s="72">
        <v>111625201083</v>
      </c>
      <c r="C28" s="73" t="s">
        <v>115</v>
      </c>
      <c r="D28" s="14"/>
      <c r="E28" s="74">
        <v>50</v>
      </c>
      <c r="F28" s="74">
        <v>63</v>
      </c>
      <c r="G28" s="12">
        <v>50</v>
      </c>
      <c r="H28" s="75">
        <v>80</v>
      </c>
      <c r="I28" s="74">
        <v>60</v>
      </c>
      <c r="J28" s="20">
        <f t="shared" si="0"/>
        <v>60.6</v>
      </c>
      <c r="K28" s="21">
        <f t="shared" si="1"/>
        <v>0</v>
      </c>
      <c r="L28" s="22"/>
      <c r="M28" s="23"/>
      <c r="N28" s="24">
        <v>100</v>
      </c>
    </row>
    <row r="29" spans="1:14" ht="15" customHeight="1">
      <c r="A29" s="11">
        <v>22</v>
      </c>
      <c r="B29" s="72">
        <v>111625201084</v>
      </c>
      <c r="C29" s="73" t="s">
        <v>116</v>
      </c>
      <c r="D29" s="14"/>
      <c r="E29" s="74">
        <v>11</v>
      </c>
      <c r="F29" s="74">
        <v>50</v>
      </c>
      <c r="G29" s="12">
        <v>0</v>
      </c>
      <c r="H29" s="75">
        <v>26.666666666666668</v>
      </c>
      <c r="I29" s="74">
        <v>37</v>
      </c>
      <c r="J29" s="20">
        <f t="shared" si="0"/>
        <v>24.933333333333334</v>
      </c>
      <c r="K29" s="21">
        <f t="shared" si="1"/>
        <v>4</v>
      </c>
      <c r="L29" s="22"/>
      <c r="M29" s="23"/>
      <c r="N29" s="24">
        <v>100</v>
      </c>
    </row>
    <row r="30" spans="1:14" ht="15" customHeight="1">
      <c r="A30" s="11">
        <v>23</v>
      </c>
      <c r="B30" s="72">
        <v>111625201085</v>
      </c>
      <c r="C30" s="73" t="s">
        <v>117</v>
      </c>
      <c r="D30" s="14"/>
      <c r="E30" s="74">
        <v>53</v>
      </c>
      <c r="F30" s="74">
        <v>80</v>
      </c>
      <c r="G30" s="12">
        <v>76</v>
      </c>
      <c r="H30" s="75">
        <v>53.333333333333336</v>
      </c>
      <c r="I30" s="74">
        <v>77</v>
      </c>
      <c r="J30" s="20">
        <f t="shared" si="0"/>
        <v>67.86666666666666</v>
      </c>
      <c r="K30" s="21">
        <f t="shared" si="1"/>
        <v>0</v>
      </c>
      <c r="L30" s="22"/>
      <c r="M30" s="23"/>
      <c r="N30" s="24">
        <v>98</v>
      </c>
    </row>
    <row r="31" spans="1:14" ht="15" customHeight="1">
      <c r="A31" s="11">
        <v>24</v>
      </c>
      <c r="B31" s="72">
        <v>111625201086</v>
      </c>
      <c r="C31" s="73" t="s">
        <v>118</v>
      </c>
      <c r="D31" s="14"/>
      <c r="E31" s="74">
        <v>74</v>
      </c>
      <c r="F31" s="74">
        <v>77</v>
      </c>
      <c r="G31" s="12">
        <v>100</v>
      </c>
      <c r="H31" s="75">
        <v>83.333333333333343</v>
      </c>
      <c r="I31" s="74">
        <v>97</v>
      </c>
      <c r="J31" s="20">
        <f t="shared" si="0"/>
        <v>86.26666666666668</v>
      </c>
      <c r="K31" s="21">
        <f t="shared" si="1"/>
        <v>0</v>
      </c>
      <c r="L31" s="22"/>
      <c r="M31" s="23"/>
      <c r="N31" s="24">
        <v>96</v>
      </c>
    </row>
    <row r="32" spans="1:14" ht="15" customHeight="1">
      <c r="A32" s="11">
        <v>25</v>
      </c>
      <c r="B32" s="72">
        <v>111625201087</v>
      </c>
      <c r="C32" s="73" t="s">
        <v>119</v>
      </c>
      <c r="D32" s="14"/>
      <c r="E32" s="74">
        <v>60</v>
      </c>
      <c r="F32" s="74">
        <v>53</v>
      </c>
      <c r="G32" s="12">
        <v>50</v>
      </c>
      <c r="H32" s="75">
        <v>26.666666666666668</v>
      </c>
      <c r="I32" s="74">
        <v>50</v>
      </c>
      <c r="J32" s="20">
        <f t="shared" si="0"/>
        <v>47.93333333333333</v>
      </c>
      <c r="K32" s="21">
        <f t="shared" si="1"/>
        <v>1</v>
      </c>
      <c r="L32" s="22"/>
      <c r="M32" s="23"/>
      <c r="N32" s="24">
        <v>98</v>
      </c>
    </row>
    <row r="33" spans="1:14" ht="15" customHeight="1">
      <c r="A33" s="11">
        <v>26</v>
      </c>
      <c r="B33" s="72">
        <v>111625201088</v>
      </c>
      <c r="C33" s="73" t="s">
        <v>120</v>
      </c>
      <c r="D33" s="14"/>
      <c r="E33" s="74">
        <v>77</v>
      </c>
      <c r="F33" s="74">
        <v>87</v>
      </c>
      <c r="G33" s="12">
        <v>96</v>
      </c>
      <c r="H33" s="75">
        <v>76.666666666666671</v>
      </c>
      <c r="I33" s="74">
        <v>100</v>
      </c>
      <c r="J33" s="20">
        <f t="shared" si="0"/>
        <v>87.333333333333343</v>
      </c>
      <c r="K33" s="21">
        <f t="shared" si="1"/>
        <v>0</v>
      </c>
      <c r="L33" s="22"/>
      <c r="M33" s="23"/>
      <c r="N33" s="24">
        <v>98</v>
      </c>
    </row>
    <row r="34" spans="1:14" ht="15" customHeight="1">
      <c r="A34" s="11">
        <v>27</v>
      </c>
      <c r="B34" s="72">
        <v>111625201089</v>
      </c>
      <c r="C34" s="73" t="s">
        <v>121</v>
      </c>
      <c r="D34" s="14"/>
      <c r="E34" s="74">
        <v>74</v>
      </c>
      <c r="F34" s="74">
        <v>77</v>
      </c>
      <c r="G34" s="12">
        <v>73</v>
      </c>
      <c r="H34" s="75">
        <v>90</v>
      </c>
      <c r="I34" s="74">
        <v>67</v>
      </c>
      <c r="J34" s="20">
        <f t="shared" si="0"/>
        <v>76.2</v>
      </c>
      <c r="K34" s="21">
        <f t="shared" si="1"/>
        <v>0</v>
      </c>
      <c r="L34" s="22"/>
      <c r="M34" s="23"/>
      <c r="N34" s="24">
        <v>100</v>
      </c>
    </row>
    <row r="35" spans="1:14" ht="15" customHeight="1">
      <c r="A35" s="11">
        <v>28</v>
      </c>
      <c r="B35" s="72">
        <v>111625201090</v>
      </c>
      <c r="C35" s="73" t="s">
        <v>122</v>
      </c>
      <c r="D35" s="14"/>
      <c r="E35" s="74">
        <v>95</v>
      </c>
      <c r="F35" s="74">
        <v>87</v>
      </c>
      <c r="G35" s="12">
        <v>63</v>
      </c>
      <c r="H35" s="75">
        <v>53.333333333333336</v>
      </c>
      <c r="I35" s="74">
        <v>23</v>
      </c>
      <c r="J35" s="20">
        <f t="shared" si="0"/>
        <v>64.266666666666666</v>
      </c>
      <c r="K35" s="21">
        <f t="shared" si="1"/>
        <v>1</v>
      </c>
      <c r="L35" s="22"/>
      <c r="M35" s="23"/>
      <c r="N35" s="24">
        <v>100</v>
      </c>
    </row>
    <row r="36" spans="1:14" ht="15" customHeight="1">
      <c r="A36" s="11">
        <v>29</v>
      </c>
      <c r="B36" s="72">
        <v>111625201091</v>
      </c>
      <c r="C36" s="73" t="s">
        <v>123</v>
      </c>
      <c r="D36" s="14"/>
      <c r="E36" s="74">
        <v>74</v>
      </c>
      <c r="F36" s="74">
        <v>77</v>
      </c>
      <c r="G36" s="12">
        <v>93</v>
      </c>
      <c r="H36" s="75">
        <v>76.666666666666671</v>
      </c>
      <c r="I36" s="74">
        <v>100</v>
      </c>
      <c r="J36" s="20">
        <f t="shared" si="0"/>
        <v>84.13333333333334</v>
      </c>
      <c r="K36" s="21">
        <f t="shared" si="1"/>
        <v>0</v>
      </c>
      <c r="L36" s="22"/>
      <c r="M36" s="23"/>
      <c r="N36" s="24">
        <v>100</v>
      </c>
    </row>
    <row r="37" spans="1:14" ht="15" customHeight="1">
      <c r="A37" s="11">
        <v>30</v>
      </c>
      <c r="B37" s="72">
        <v>111625201092</v>
      </c>
      <c r="C37" s="73" t="s">
        <v>124</v>
      </c>
      <c r="D37" s="14"/>
      <c r="E37" s="74">
        <v>52</v>
      </c>
      <c r="F37" s="74">
        <v>17</v>
      </c>
      <c r="G37" s="12">
        <v>33</v>
      </c>
      <c r="H37" s="75">
        <v>33.333333333333329</v>
      </c>
      <c r="I37" s="74">
        <v>60</v>
      </c>
      <c r="J37" s="20">
        <f t="shared" si="0"/>
        <v>39.066666666666663</v>
      </c>
      <c r="K37" s="21">
        <f t="shared" si="1"/>
        <v>3</v>
      </c>
      <c r="L37" s="22"/>
      <c r="M37" s="23"/>
      <c r="N37" s="24">
        <v>100</v>
      </c>
    </row>
    <row r="38" spans="1:14" ht="15" customHeight="1">
      <c r="A38" s="11">
        <v>31</v>
      </c>
      <c r="B38" s="72">
        <v>111625201093</v>
      </c>
      <c r="C38" s="73" t="s">
        <v>125</v>
      </c>
      <c r="D38" s="14"/>
      <c r="E38" s="74">
        <v>51</v>
      </c>
      <c r="F38" s="74">
        <v>70</v>
      </c>
      <c r="G38" s="12">
        <v>60</v>
      </c>
      <c r="H38" s="75">
        <v>50</v>
      </c>
      <c r="I38" s="74">
        <v>0</v>
      </c>
      <c r="J38" s="20">
        <f t="shared" si="0"/>
        <v>46.2</v>
      </c>
      <c r="K38" s="21">
        <f t="shared" si="1"/>
        <v>1</v>
      </c>
      <c r="L38" s="22"/>
      <c r="M38" s="23"/>
      <c r="N38" s="24">
        <v>94</v>
      </c>
    </row>
    <row r="39" spans="1:14" ht="15" customHeight="1">
      <c r="A39" s="11">
        <v>32</v>
      </c>
      <c r="B39" s="72">
        <v>111625201094</v>
      </c>
      <c r="C39" s="73" t="s">
        <v>126</v>
      </c>
      <c r="D39" s="14"/>
      <c r="E39" s="74">
        <v>88</v>
      </c>
      <c r="F39" s="74">
        <v>83</v>
      </c>
      <c r="G39" s="12">
        <v>90</v>
      </c>
      <c r="H39" s="75">
        <v>80</v>
      </c>
      <c r="I39" s="74">
        <v>80</v>
      </c>
      <c r="J39" s="20">
        <f t="shared" si="0"/>
        <v>84.2</v>
      </c>
      <c r="K39" s="21">
        <f t="shared" si="1"/>
        <v>0</v>
      </c>
      <c r="L39" s="22"/>
      <c r="M39" s="23"/>
      <c r="N39" s="24">
        <v>100</v>
      </c>
    </row>
    <row r="40" spans="1:14" ht="15" customHeight="1">
      <c r="A40" s="11">
        <v>33</v>
      </c>
      <c r="B40" s="72">
        <v>111625201095</v>
      </c>
      <c r="C40" s="73" t="s">
        <v>127</v>
      </c>
      <c r="D40" s="14"/>
      <c r="E40" s="74">
        <v>28</v>
      </c>
      <c r="F40" s="74">
        <v>60</v>
      </c>
      <c r="G40" s="12" t="s">
        <v>20</v>
      </c>
      <c r="H40" s="75">
        <v>26.666666666666668</v>
      </c>
      <c r="I40" s="74">
        <v>23</v>
      </c>
      <c r="J40" s="20">
        <f t="shared" si="0"/>
        <v>27.533333333333339</v>
      </c>
      <c r="K40" s="21">
        <f t="shared" si="1"/>
        <v>4</v>
      </c>
      <c r="L40" s="22"/>
      <c r="M40" s="23"/>
      <c r="N40" s="24">
        <v>83</v>
      </c>
    </row>
    <row r="41" spans="1:14" ht="15" customHeight="1">
      <c r="A41" s="11">
        <v>34</v>
      </c>
      <c r="B41" s="72">
        <v>111625201096</v>
      </c>
      <c r="C41" s="73" t="s">
        <v>128</v>
      </c>
      <c r="D41" s="14"/>
      <c r="E41" s="74">
        <v>50</v>
      </c>
      <c r="F41" s="74">
        <v>63</v>
      </c>
      <c r="G41" s="12">
        <v>30</v>
      </c>
      <c r="H41" s="75">
        <v>20</v>
      </c>
      <c r="I41" s="74">
        <v>27</v>
      </c>
      <c r="J41" s="20">
        <f t="shared" si="0"/>
        <v>38</v>
      </c>
      <c r="K41" s="21">
        <f t="shared" si="1"/>
        <v>3</v>
      </c>
      <c r="L41" s="22"/>
      <c r="M41" s="23"/>
      <c r="N41" s="24">
        <v>94</v>
      </c>
    </row>
    <row r="42" spans="1:14" ht="15" customHeight="1">
      <c r="A42" s="11">
        <v>35</v>
      </c>
      <c r="B42" s="72">
        <v>111625201097</v>
      </c>
      <c r="C42" s="73" t="s">
        <v>129</v>
      </c>
      <c r="D42" s="14"/>
      <c r="E42" s="74">
        <v>60</v>
      </c>
      <c r="F42" s="74">
        <v>63</v>
      </c>
      <c r="G42" s="12">
        <v>53</v>
      </c>
      <c r="H42" s="75">
        <v>56.666666666666664</v>
      </c>
      <c r="I42" s="74">
        <v>60</v>
      </c>
      <c r="J42" s="20">
        <f t="shared" si="0"/>
        <v>58.533333333333324</v>
      </c>
      <c r="K42" s="21">
        <f t="shared" si="1"/>
        <v>0</v>
      </c>
      <c r="L42" s="22"/>
      <c r="M42" s="23"/>
      <c r="N42" s="24">
        <v>98</v>
      </c>
    </row>
    <row r="43" spans="1:14" ht="15" customHeight="1">
      <c r="A43" s="11">
        <v>36</v>
      </c>
      <c r="B43" s="72">
        <v>111625201098</v>
      </c>
      <c r="C43" s="73" t="s">
        <v>130</v>
      </c>
      <c r="D43" s="14"/>
      <c r="E43" s="74">
        <v>77</v>
      </c>
      <c r="F43" s="74">
        <v>83</v>
      </c>
      <c r="G43" s="12">
        <v>96</v>
      </c>
      <c r="H43" s="75">
        <v>76.666666666666671</v>
      </c>
      <c r="I43" s="74">
        <v>50</v>
      </c>
      <c r="J43" s="20">
        <f t="shared" si="0"/>
        <v>76.533333333333331</v>
      </c>
      <c r="K43" s="21">
        <f t="shared" si="1"/>
        <v>0</v>
      </c>
      <c r="L43" s="22"/>
      <c r="M43" s="23"/>
      <c r="N43" s="24">
        <v>94</v>
      </c>
    </row>
    <row r="44" spans="1:14" ht="15" customHeight="1">
      <c r="A44" s="11">
        <v>37</v>
      </c>
      <c r="B44" s="72">
        <v>111625201099</v>
      </c>
      <c r="C44" s="73" t="s">
        <v>131</v>
      </c>
      <c r="D44" s="14"/>
      <c r="E44" s="74">
        <v>51</v>
      </c>
      <c r="F44" s="74">
        <v>53</v>
      </c>
      <c r="G44" s="12">
        <v>50</v>
      </c>
      <c r="H44" s="75">
        <v>66.666666666666657</v>
      </c>
      <c r="I44" s="74" t="s">
        <v>20</v>
      </c>
      <c r="J44" s="20">
        <f t="shared" si="0"/>
        <v>44.133333333333333</v>
      </c>
      <c r="K44" s="21">
        <f t="shared" si="1"/>
        <v>1</v>
      </c>
      <c r="L44" s="22" t="str">
        <f t="shared" ref="L44:L69" si="4">IF((K44&lt;1),"0","1")</f>
        <v>1</v>
      </c>
      <c r="M44" s="23">
        <f t="shared" ref="M44:M69" si="5">COUNTIF((E44:I44),"=A")</f>
        <v>1</v>
      </c>
      <c r="N44" s="24">
        <v>89</v>
      </c>
    </row>
    <row r="45" spans="1:14" ht="15" customHeight="1">
      <c r="A45" s="11">
        <v>38</v>
      </c>
      <c r="B45" s="72">
        <v>111625201100</v>
      </c>
      <c r="C45" s="73" t="s">
        <v>132</v>
      </c>
      <c r="D45" s="14"/>
      <c r="E45" s="74">
        <v>15</v>
      </c>
      <c r="F45" s="74">
        <v>33</v>
      </c>
      <c r="G45" s="12">
        <v>50</v>
      </c>
      <c r="H45" s="75">
        <v>16.666666666666664</v>
      </c>
      <c r="I45" s="74">
        <v>20</v>
      </c>
      <c r="J45" s="20">
        <f t="shared" si="0"/>
        <v>26.93333333333333</v>
      </c>
      <c r="K45" s="21">
        <f t="shared" si="1"/>
        <v>4</v>
      </c>
      <c r="L45" s="22" t="str">
        <f t="shared" si="4"/>
        <v>1</v>
      </c>
      <c r="M45" s="23">
        <f t="shared" si="5"/>
        <v>0</v>
      </c>
      <c r="N45" s="24">
        <v>94</v>
      </c>
    </row>
    <row r="46" spans="1:14" ht="15" customHeight="1">
      <c r="A46" s="11">
        <v>39</v>
      </c>
      <c r="B46" s="72">
        <v>111625201101</v>
      </c>
      <c r="C46" s="73" t="s">
        <v>133</v>
      </c>
      <c r="D46" s="14"/>
      <c r="E46" s="74">
        <v>17</v>
      </c>
      <c r="F46" s="74">
        <v>67</v>
      </c>
      <c r="G46" s="12">
        <v>26</v>
      </c>
      <c r="H46" s="75">
        <v>50</v>
      </c>
      <c r="I46" s="74">
        <v>73</v>
      </c>
      <c r="J46" s="20">
        <f t="shared" si="0"/>
        <v>46.6</v>
      </c>
      <c r="K46" s="21">
        <f t="shared" si="1"/>
        <v>2</v>
      </c>
      <c r="L46" s="22" t="str">
        <f t="shared" si="4"/>
        <v>1</v>
      </c>
      <c r="M46" s="23">
        <f t="shared" si="5"/>
        <v>0</v>
      </c>
      <c r="N46" s="24">
        <v>91</v>
      </c>
    </row>
    <row r="47" spans="1:14" ht="15" customHeight="1">
      <c r="A47" s="11">
        <v>40</v>
      </c>
      <c r="B47" s="72">
        <v>111625201102</v>
      </c>
      <c r="C47" s="73" t="s">
        <v>134</v>
      </c>
      <c r="D47" s="14"/>
      <c r="E47" s="74">
        <v>67</v>
      </c>
      <c r="F47" s="74">
        <v>80</v>
      </c>
      <c r="G47" s="12">
        <v>80</v>
      </c>
      <c r="H47" s="75">
        <v>60</v>
      </c>
      <c r="I47" s="74">
        <v>50</v>
      </c>
      <c r="J47" s="20">
        <f t="shared" si="0"/>
        <v>67.400000000000006</v>
      </c>
      <c r="K47" s="21">
        <f t="shared" si="1"/>
        <v>0</v>
      </c>
      <c r="L47" s="22" t="str">
        <f t="shared" si="4"/>
        <v>0</v>
      </c>
      <c r="M47" s="23">
        <f t="shared" si="5"/>
        <v>0</v>
      </c>
      <c r="N47" s="24">
        <v>100</v>
      </c>
    </row>
    <row r="48" spans="1:14" ht="15" customHeight="1">
      <c r="A48" s="11">
        <v>41</v>
      </c>
      <c r="B48" s="72">
        <v>111625201103</v>
      </c>
      <c r="C48" s="73" t="s">
        <v>135</v>
      </c>
      <c r="D48" s="14"/>
      <c r="E48" s="74">
        <v>50</v>
      </c>
      <c r="F48" s="74">
        <v>63</v>
      </c>
      <c r="G48" s="12">
        <v>53</v>
      </c>
      <c r="H48" s="75">
        <v>66.666666666666657</v>
      </c>
      <c r="I48" s="74">
        <v>53</v>
      </c>
      <c r="J48" s="20">
        <f t="shared" si="0"/>
        <v>57.133333333333326</v>
      </c>
      <c r="K48" s="21">
        <f t="shared" si="1"/>
        <v>0</v>
      </c>
      <c r="L48" s="22" t="str">
        <f t="shared" si="4"/>
        <v>0</v>
      </c>
      <c r="M48" s="23">
        <f t="shared" si="5"/>
        <v>0</v>
      </c>
      <c r="N48" s="24">
        <v>96</v>
      </c>
    </row>
    <row r="49" spans="1:14" ht="15" customHeight="1">
      <c r="A49" s="11">
        <v>42</v>
      </c>
      <c r="B49" s="72">
        <v>111625201104</v>
      </c>
      <c r="C49" s="73" t="s">
        <v>136</v>
      </c>
      <c r="D49" s="14"/>
      <c r="E49" s="74" t="s">
        <v>20</v>
      </c>
      <c r="F49" s="74">
        <v>50</v>
      </c>
      <c r="G49" s="12">
        <v>50</v>
      </c>
      <c r="H49" s="75">
        <v>33.333333333333329</v>
      </c>
      <c r="I49" s="74">
        <v>67</v>
      </c>
      <c r="J49" s="20">
        <f t="shared" si="0"/>
        <v>40.066666666666663</v>
      </c>
      <c r="K49" s="21">
        <f t="shared" si="1"/>
        <v>2</v>
      </c>
      <c r="L49" s="22" t="str">
        <f t="shared" si="4"/>
        <v>1</v>
      </c>
      <c r="M49" s="23">
        <f t="shared" si="5"/>
        <v>1</v>
      </c>
      <c r="N49" s="24">
        <v>89</v>
      </c>
    </row>
    <row r="50" spans="1:14" ht="15" customHeight="1">
      <c r="A50" s="11">
        <v>43</v>
      </c>
      <c r="B50" s="72">
        <v>111625201105</v>
      </c>
      <c r="C50" s="73" t="s">
        <v>137</v>
      </c>
      <c r="D50" s="14"/>
      <c r="E50" s="74">
        <v>100</v>
      </c>
      <c r="F50" s="74">
        <v>87</v>
      </c>
      <c r="G50" s="12">
        <v>93</v>
      </c>
      <c r="H50" s="75">
        <v>80</v>
      </c>
      <c r="I50" s="74">
        <v>90</v>
      </c>
      <c r="J50" s="20">
        <f t="shared" si="0"/>
        <v>90</v>
      </c>
      <c r="K50" s="21">
        <f t="shared" si="1"/>
        <v>0</v>
      </c>
      <c r="L50" s="22" t="str">
        <f t="shared" si="4"/>
        <v>0</v>
      </c>
      <c r="M50" s="23">
        <f t="shared" si="5"/>
        <v>0</v>
      </c>
      <c r="N50" s="24">
        <v>100</v>
      </c>
    </row>
    <row r="51" spans="1:14" ht="16.5" customHeight="1">
      <c r="A51" s="11">
        <v>44</v>
      </c>
      <c r="B51" s="72">
        <v>111625201106</v>
      </c>
      <c r="C51" s="73" t="s">
        <v>138</v>
      </c>
      <c r="D51" s="14"/>
      <c r="E51" s="74">
        <v>70</v>
      </c>
      <c r="F51" s="74">
        <v>73</v>
      </c>
      <c r="G51" s="12">
        <v>57</v>
      </c>
      <c r="H51" s="75">
        <v>53.333333333333336</v>
      </c>
      <c r="I51" s="74">
        <v>87</v>
      </c>
      <c r="J51" s="20">
        <f t="shared" si="0"/>
        <v>68.066666666666677</v>
      </c>
      <c r="K51" s="21">
        <f t="shared" si="1"/>
        <v>0</v>
      </c>
      <c r="L51" s="22" t="str">
        <f t="shared" si="4"/>
        <v>0</v>
      </c>
      <c r="M51" s="23">
        <f t="shared" si="5"/>
        <v>0</v>
      </c>
      <c r="N51" s="24">
        <v>100</v>
      </c>
    </row>
    <row r="52" spans="1:14" ht="16.5" customHeight="1">
      <c r="A52" s="11">
        <v>45</v>
      </c>
      <c r="B52" s="72">
        <v>111625201107</v>
      </c>
      <c r="C52" s="73" t="s">
        <v>139</v>
      </c>
      <c r="D52" s="14"/>
      <c r="E52" s="74">
        <v>50</v>
      </c>
      <c r="F52" s="74">
        <v>77</v>
      </c>
      <c r="G52" s="12">
        <v>76</v>
      </c>
      <c r="H52" s="75">
        <v>53.333333333333336</v>
      </c>
      <c r="I52" s="74">
        <v>63</v>
      </c>
      <c r="J52" s="20">
        <f t="shared" si="0"/>
        <v>63.86666666666666</v>
      </c>
      <c r="K52" s="21">
        <f t="shared" si="1"/>
        <v>0</v>
      </c>
      <c r="L52" s="22" t="str">
        <f t="shared" si="4"/>
        <v>0</v>
      </c>
      <c r="M52" s="23">
        <f t="shared" si="5"/>
        <v>0</v>
      </c>
      <c r="N52" s="24">
        <v>96</v>
      </c>
    </row>
    <row r="53" spans="1:14" ht="16.5" customHeight="1">
      <c r="A53" s="11">
        <v>46</v>
      </c>
      <c r="B53" s="72">
        <v>111625201108</v>
      </c>
      <c r="C53" s="73" t="s">
        <v>140</v>
      </c>
      <c r="D53" s="14"/>
      <c r="E53" s="74">
        <v>50</v>
      </c>
      <c r="F53" s="74">
        <v>20</v>
      </c>
      <c r="G53" s="12">
        <v>7</v>
      </c>
      <c r="H53" s="75">
        <v>30</v>
      </c>
      <c r="I53" s="74">
        <v>30</v>
      </c>
      <c r="J53" s="20">
        <f t="shared" si="0"/>
        <v>27.4</v>
      </c>
      <c r="K53" s="21">
        <f t="shared" si="1"/>
        <v>4</v>
      </c>
      <c r="L53" s="22" t="str">
        <f t="shared" si="4"/>
        <v>1</v>
      </c>
      <c r="M53" s="23">
        <f t="shared" si="5"/>
        <v>0</v>
      </c>
      <c r="N53" s="24">
        <v>100</v>
      </c>
    </row>
    <row r="54" spans="1:14" ht="16.5" customHeight="1">
      <c r="A54" s="11">
        <v>47</v>
      </c>
      <c r="B54" s="72">
        <v>111625201109</v>
      </c>
      <c r="C54" s="73" t="s">
        <v>141</v>
      </c>
      <c r="D54" s="14"/>
      <c r="E54" s="74">
        <v>95</v>
      </c>
      <c r="F54" s="74">
        <v>70</v>
      </c>
      <c r="G54" s="12">
        <v>33</v>
      </c>
      <c r="H54" s="75">
        <v>83.333333333333343</v>
      </c>
      <c r="I54" s="74">
        <v>50</v>
      </c>
      <c r="J54" s="20">
        <f t="shared" si="0"/>
        <v>66.26666666666668</v>
      </c>
      <c r="K54" s="21">
        <f t="shared" si="1"/>
        <v>1</v>
      </c>
      <c r="L54" s="22" t="str">
        <f t="shared" si="4"/>
        <v>1</v>
      </c>
      <c r="M54" s="23">
        <f t="shared" si="5"/>
        <v>0</v>
      </c>
      <c r="N54" s="24">
        <v>89</v>
      </c>
    </row>
    <row r="55" spans="1:14" ht="16.5" customHeight="1">
      <c r="A55" s="11">
        <v>48</v>
      </c>
      <c r="B55" s="72">
        <v>111625201110</v>
      </c>
      <c r="C55" s="73" t="s">
        <v>142</v>
      </c>
      <c r="D55" s="14"/>
      <c r="E55" s="74" t="s">
        <v>20</v>
      </c>
      <c r="F55" s="74">
        <v>80</v>
      </c>
      <c r="G55" s="12" t="s">
        <v>20</v>
      </c>
      <c r="H55" s="75">
        <v>83</v>
      </c>
      <c r="I55" s="74">
        <v>63</v>
      </c>
      <c r="J55" s="20">
        <f t="shared" si="0"/>
        <v>45.2</v>
      </c>
      <c r="K55" s="21">
        <f t="shared" si="1"/>
        <v>2</v>
      </c>
      <c r="L55" s="22" t="str">
        <f t="shared" si="4"/>
        <v>1</v>
      </c>
      <c r="M55" s="23">
        <f t="shared" si="5"/>
        <v>2</v>
      </c>
      <c r="N55" s="24">
        <v>94</v>
      </c>
    </row>
    <row r="56" spans="1:14" ht="16.5" customHeight="1">
      <c r="A56" s="11">
        <v>49</v>
      </c>
      <c r="B56" s="72">
        <v>111625201111</v>
      </c>
      <c r="C56" s="73" t="s">
        <v>143</v>
      </c>
      <c r="D56" s="14"/>
      <c r="E56" s="74">
        <v>51</v>
      </c>
      <c r="F56" s="74">
        <v>13</v>
      </c>
      <c r="G56" s="12">
        <v>0</v>
      </c>
      <c r="H56" s="75">
        <v>56.666666666666664</v>
      </c>
      <c r="I56" s="74">
        <v>50</v>
      </c>
      <c r="J56" s="20">
        <f t="shared" si="0"/>
        <v>34.133333333333333</v>
      </c>
      <c r="K56" s="21">
        <f t="shared" si="1"/>
        <v>2</v>
      </c>
      <c r="L56" s="22" t="str">
        <f t="shared" si="4"/>
        <v>1</v>
      </c>
      <c r="M56" s="23">
        <f t="shared" si="5"/>
        <v>0</v>
      </c>
      <c r="N56" s="24">
        <v>89</v>
      </c>
    </row>
    <row r="57" spans="1:14" ht="16.5" customHeight="1">
      <c r="A57" s="11">
        <v>50</v>
      </c>
      <c r="B57" s="72">
        <v>111625201112</v>
      </c>
      <c r="C57" s="73" t="s">
        <v>144</v>
      </c>
      <c r="D57" s="14"/>
      <c r="E57" s="74">
        <v>95</v>
      </c>
      <c r="F57" s="74">
        <v>50</v>
      </c>
      <c r="G57" s="12">
        <v>52</v>
      </c>
      <c r="H57" s="75">
        <v>66.666666666666657</v>
      </c>
      <c r="I57" s="74">
        <v>50</v>
      </c>
      <c r="J57" s="20">
        <f t="shared" si="0"/>
        <v>62.733333333333327</v>
      </c>
      <c r="K57" s="21">
        <f t="shared" si="1"/>
        <v>0</v>
      </c>
      <c r="L57" s="22" t="str">
        <f t="shared" si="4"/>
        <v>0</v>
      </c>
      <c r="M57" s="23">
        <f t="shared" si="5"/>
        <v>0</v>
      </c>
      <c r="N57" s="24">
        <v>100</v>
      </c>
    </row>
    <row r="58" spans="1:14" ht="16.5" customHeight="1">
      <c r="A58" s="11">
        <v>51</v>
      </c>
      <c r="B58" s="72">
        <v>111625201113</v>
      </c>
      <c r="C58" s="73" t="s">
        <v>145</v>
      </c>
      <c r="D58" s="14"/>
      <c r="E58" s="74">
        <v>38</v>
      </c>
      <c r="F58" s="74">
        <v>73</v>
      </c>
      <c r="G58" s="12">
        <v>50</v>
      </c>
      <c r="H58" s="75">
        <v>90</v>
      </c>
      <c r="I58" s="74">
        <v>83</v>
      </c>
      <c r="J58" s="20">
        <f t="shared" si="0"/>
        <v>66.8</v>
      </c>
      <c r="K58" s="21">
        <f t="shared" si="1"/>
        <v>1</v>
      </c>
      <c r="L58" s="22" t="str">
        <f t="shared" si="4"/>
        <v>1</v>
      </c>
      <c r="M58" s="23">
        <f t="shared" si="5"/>
        <v>0</v>
      </c>
      <c r="N58" s="24">
        <v>100</v>
      </c>
    </row>
    <row r="59" spans="1:14" ht="16.5" customHeight="1">
      <c r="A59" s="11">
        <v>52</v>
      </c>
      <c r="B59" s="72">
        <v>111625201114</v>
      </c>
      <c r="C59" s="73" t="s">
        <v>146</v>
      </c>
      <c r="D59" s="14"/>
      <c r="E59" s="74">
        <v>53</v>
      </c>
      <c r="F59" s="74">
        <v>83</v>
      </c>
      <c r="G59" s="12">
        <v>70</v>
      </c>
      <c r="H59" s="75">
        <v>60</v>
      </c>
      <c r="I59" s="74">
        <v>83</v>
      </c>
      <c r="J59" s="20">
        <f t="shared" si="0"/>
        <v>69.8</v>
      </c>
      <c r="K59" s="21">
        <f t="shared" si="1"/>
        <v>0</v>
      </c>
      <c r="L59" s="22" t="str">
        <f t="shared" si="4"/>
        <v>0</v>
      </c>
      <c r="M59" s="23">
        <f t="shared" si="5"/>
        <v>0</v>
      </c>
      <c r="N59" s="24">
        <v>100</v>
      </c>
    </row>
    <row r="60" spans="1:14" ht="16.5" customHeight="1">
      <c r="A60" s="11">
        <v>53</v>
      </c>
      <c r="B60" s="72">
        <v>111625201115</v>
      </c>
      <c r="C60" s="73" t="s">
        <v>147</v>
      </c>
      <c r="D60" s="14"/>
      <c r="E60" s="74">
        <v>95</v>
      </c>
      <c r="F60" s="74">
        <v>90</v>
      </c>
      <c r="G60" s="12">
        <v>90</v>
      </c>
      <c r="H60" s="75">
        <v>80</v>
      </c>
      <c r="I60" s="74">
        <v>53</v>
      </c>
      <c r="J60" s="20">
        <f t="shared" si="0"/>
        <v>81.599999999999994</v>
      </c>
      <c r="K60" s="21">
        <f t="shared" si="1"/>
        <v>0</v>
      </c>
      <c r="L60" s="22" t="str">
        <f t="shared" si="4"/>
        <v>0</v>
      </c>
      <c r="M60" s="23">
        <f t="shared" si="5"/>
        <v>0</v>
      </c>
      <c r="N60" s="24">
        <v>100</v>
      </c>
    </row>
    <row r="61" spans="1:14" ht="16.5" customHeight="1">
      <c r="A61" s="11">
        <v>54</v>
      </c>
      <c r="B61" s="72">
        <v>111625201116</v>
      </c>
      <c r="C61" s="73" t="s">
        <v>148</v>
      </c>
      <c r="D61" s="14"/>
      <c r="E61" s="74">
        <v>88</v>
      </c>
      <c r="F61" s="74">
        <v>90</v>
      </c>
      <c r="G61" s="12">
        <v>100</v>
      </c>
      <c r="H61" s="75">
        <v>90</v>
      </c>
      <c r="I61" s="74">
        <v>80</v>
      </c>
      <c r="J61" s="20">
        <f t="shared" si="0"/>
        <v>89.6</v>
      </c>
      <c r="K61" s="21">
        <f t="shared" si="1"/>
        <v>0</v>
      </c>
      <c r="L61" s="22" t="str">
        <f t="shared" si="4"/>
        <v>0</v>
      </c>
      <c r="M61" s="23">
        <f t="shared" si="5"/>
        <v>0</v>
      </c>
      <c r="N61" s="24">
        <v>100</v>
      </c>
    </row>
    <row r="62" spans="1:14" ht="16.5" customHeight="1">
      <c r="A62" s="11">
        <v>55</v>
      </c>
      <c r="B62" s="72">
        <v>111625201117</v>
      </c>
      <c r="C62" s="73" t="s">
        <v>149</v>
      </c>
      <c r="D62" s="14"/>
      <c r="E62" s="74">
        <v>50</v>
      </c>
      <c r="F62" s="74">
        <v>73</v>
      </c>
      <c r="G62" s="12">
        <v>93</v>
      </c>
      <c r="H62" s="75">
        <v>90</v>
      </c>
      <c r="I62" s="74">
        <v>67</v>
      </c>
      <c r="J62" s="20">
        <f t="shared" si="0"/>
        <v>74.599999999999994</v>
      </c>
      <c r="K62" s="21">
        <f t="shared" si="1"/>
        <v>0</v>
      </c>
      <c r="L62" s="22" t="str">
        <f t="shared" si="4"/>
        <v>0</v>
      </c>
      <c r="M62" s="23">
        <f t="shared" si="5"/>
        <v>0</v>
      </c>
      <c r="N62" s="24">
        <v>100</v>
      </c>
    </row>
    <row r="63" spans="1:14" ht="16.5" customHeight="1">
      <c r="A63" s="11">
        <v>56</v>
      </c>
      <c r="B63" s="72">
        <v>111625201118</v>
      </c>
      <c r="C63" s="73" t="s">
        <v>150</v>
      </c>
      <c r="D63" s="14"/>
      <c r="E63" s="74">
        <v>63</v>
      </c>
      <c r="F63" s="74">
        <v>73</v>
      </c>
      <c r="G63" s="12" t="s">
        <v>20</v>
      </c>
      <c r="H63" s="75">
        <v>90</v>
      </c>
      <c r="I63" s="74">
        <v>97</v>
      </c>
      <c r="J63" s="20">
        <f t="shared" si="0"/>
        <v>64.599999999999994</v>
      </c>
      <c r="K63" s="21">
        <f t="shared" si="1"/>
        <v>1</v>
      </c>
      <c r="L63" s="22" t="str">
        <f t="shared" si="4"/>
        <v>1</v>
      </c>
      <c r="M63" s="23">
        <f t="shared" si="5"/>
        <v>1</v>
      </c>
      <c r="N63" s="24">
        <v>91</v>
      </c>
    </row>
    <row r="64" spans="1:14" ht="16.5" customHeight="1">
      <c r="A64" s="11">
        <v>57</v>
      </c>
      <c r="B64" s="72">
        <v>111625201119</v>
      </c>
      <c r="C64" s="73" t="s">
        <v>151</v>
      </c>
      <c r="D64" s="14"/>
      <c r="E64" s="74">
        <v>50</v>
      </c>
      <c r="F64" s="74">
        <v>67</v>
      </c>
      <c r="G64" s="12">
        <v>50</v>
      </c>
      <c r="H64" s="75">
        <v>66.666666666666657</v>
      </c>
      <c r="I64" s="74">
        <v>50</v>
      </c>
      <c r="J64" s="20">
        <f t="shared" si="0"/>
        <v>56.733333333333327</v>
      </c>
      <c r="K64" s="21">
        <f t="shared" si="1"/>
        <v>0</v>
      </c>
      <c r="L64" s="22" t="str">
        <f t="shared" si="4"/>
        <v>0</v>
      </c>
      <c r="M64" s="23">
        <f t="shared" si="5"/>
        <v>0</v>
      </c>
      <c r="N64" s="24">
        <v>100</v>
      </c>
    </row>
    <row r="65" spans="1:14" ht="16.5" customHeight="1">
      <c r="A65" s="11">
        <v>58</v>
      </c>
      <c r="B65" s="72">
        <v>111625201120</v>
      </c>
      <c r="C65" s="73" t="s">
        <v>152</v>
      </c>
      <c r="D65" s="14"/>
      <c r="E65" s="74">
        <v>63</v>
      </c>
      <c r="F65" s="74">
        <v>73</v>
      </c>
      <c r="G65" s="12">
        <v>83</v>
      </c>
      <c r="H65" s="75">
        <v>23.333333333333332</v>
      </c>
      <c r="I65" s="74">
        <v>70</v>
      </c>
      <c r="J65" s="20">
        <f t="shared" si="0"/>
        <v>62.466666666666676</v>
      </c>
      <c r="K65" s="21">
        <f t="shared" si="1"/>
        <v>1</v>
      </c>
      <c r="L65" s="22" t="str">
        <f t="shared" si="4"/>
        <v>1</v>
      </c>
      <c r="M65" s="23">
        <f t="shared" si="5"/>
        <v>0</v>
      </c>
      <c r="N65" s="24">
        <v>100</v>
      </c>
    </row>
    <row r="66" spans="1:14" ht="16.5" customHeight="1">
      <c r="A66" s="11">
        <v>59</v>
      </c>
      <c r="B66" s="72">
        <v>111625201121</v>
      </c>
      <c r="C66" s="73" t="s">
        <v>153</v>
      </c>
      <c r="D66" s="14"/>
      <c r="E66" s="74">
        <v>67</v>
      </c>
      <c r="F66" s="74">
        <v>87</v>
      </c>
      <c r="G66" s="12">
        <v>90</v>
      </c>
      <c r="H66" s="75">
        <v>50</v>
      </c>
      <c r="I66" s="74">
        <v>50</v>
      </c>
      <c r="J66" s="20">
        <f t="shared" si="0"/>
        <v>68.8</v>
      </c>
      <c r="K66" s="21">
        <f t="shared" si="1"/>
        <v>0</v>
      </c>
      <c r="L66" s="22" t="str">
        <f t="shared" si="4"/>
        <v>0</v>
      </c>
      <c r="M66" s="23">
        <f t="shared" si="5"/>
        <v>0</v>
      </c>
      <c r="N66" s="24">
        <v>100</v>
      </c>
    </row>
    <row r="67" spans="1:14" ht="16.5" customHeight="1">
      <c r="A67" s="11">
        <v>60</v>
      </c>
      <c r="B67" s="72">
        <v>111625201122</v>
      </c>
      <c r="C67" s="73" t="s">
        <v>154</v>
      </c>
      <c r="D67" s="14"/>
      <c r="E67" s="74" t="s">
        <v>20</v>
      </c>
      <c r="F67" s="74" t="s">
        <v>20</v>
      </c>
      <c r="G67" s="19" t="s">
        <v>20</v>
      </c>
      <c r="H67" s="77" t="s">
        <v>20</v>
      </c>
      <c r="I67" s="74" t="s">
        <v>20</v>
      </c>
      <c r="J67" s="20">
        <f t="shared" si="0"/>
        <v>0</v>
      </c>
      <c r="K67" s="21">
        <f t="shared" si="1"/>
        <v>5</v>
      </c>
      <c r="L67" s="22" t="str">
        <f t="shared" si="4"/>
        <v>1</v>
      </c>
      <c r="M67" s="23">
        <f t="shared" si="5"/>
        <v>5</v>
      </c>
      <c r="N67" s="24">
        <v>9</v>
      </c>
    </row>
    <row r="68" spans="1:14" ht="16.5" customHeight="1">
      <c r="A68" s="11">
        <v>61</v>
      </c>
      <c r="B68" s="72">
        <v>111625201123</v>
      </c>
      <c r="C68" s="73" t="s">
        <v>155</v>
      </c>
      <c r="D68" s="14"/>
      <c r="E68" s="74">
        <v>18</v>
      </c>
      <c r="F68" s="74">
        <v>60</v>
      </c>
      <c r="G68" s="12">
        <v>50</v>
      </c>
      <c r="H68" s="75">
        <v>56.666666666666664</v>
      </c>
      <c r="I68" s="74">
        <v>70</v>
      </c>
      <c r="J68" s="20">
        <f t="shared" si="0"/>
        <v>50.93333333333333</v>
      </c>
      <c r="K68" s="21">
        <f t="shared" si="1"/>
        <v>1</v>
      </c>
      <c r="L68" s="22" t="str">
        <f t="shared" si="4"/>
        <v>1</v>
      </c>
      <c r="M68" s="23">
        <f t="shared" si="5"/>
        <v>0</v>
      </c>
      <c r="N68" s="24">
        <v>100</v>
      </c>
    </row>
    <row r="69" spans="1:14" ht="16.5" customHeight="1">
      <c r="A69" s="11">
        <v>62</v>
      </c>
      <c r="B69" s="72">
        <v>111625201124</v>
      </c>
      <c r="C69" s="73" t="s">
        <v>156</v>
      </c>
      <c r="D69" s="14"/>
      <c r="E69" s="74">
        <v>52</v>
      </c>
      <c r="F69" s="74">
        <v>63</v>
      </c>
      <c r="G69" s="12">
        <v>27</v>
      </c>
      <c r="H69" s="75">
        <v>20</v>
      </c>
      <c r="I69" s="74">
        <v>57</v>
      </c>
      <c r="J69" s="20">
        <f t="shared" si="0"/>
        <v>43.8</v>
      </c>
      <c r="K69" s="21">
        <f t="shared" si="1"/>
        <v>2</v>
      </c>
      <c r="L69" s="22" t="str">
        <f t="shared" si="4"/>
        <v>1</v>
      </c>
      <c r="M69" s="23">
        <f t="shared" si="5"/>
        <v>0</v>
      </c>
      <c r="N69" s="24">
        <v>98</v>
      </c>
    </row>
    <row r="70" spans="1:14" ht="14.4">
      <c r="A70" s="22"/>
      <c r="B70" s="78"/>
      <c r="C70" s="79"/>
      <c r="D70" s="31"/>
      <c r="E70" s="31"/>
      <c r="F70" s="31"/>
      <c r="G70" s="30"/>
      <c r="H70" s="30"/>
      <c r="I70" s="29"/>
      <c r="J70" s="22"/>
      <c r="K70" s="33"/>
      <c r="L70" s="1"/>
      <c r="M70" s="1"/>
      <c r="N70" s="1"/>
    </row>
    <row r="71" spans="1:14" ht="15.6">
      <c r="A71" s="22"/>
      <c r="B71" s="34"/>
      <c r="C71" s="35" t="s">
        <v>81</v>
      </c>
      <c r="D71" s="36"/>
      <c r="E71" s="37">
        <f>COUNT(A8:A69)</f>
        <v>62</v>
      </c>
      <c r="F71" s="37">
        <f>COUNT(A8:A69)</f>
        <v>62</v>
      </c>
      <c r="G71" s="37">
        <f>COUNT(A8:A69)</f>
        <v>62</v>
      </c>
      <c r="H71" s="37">
        <f>COUNT(A8:A69)</f>
        <v>62</v>
      </c>
      <c r="I71" s="37">
        <f>COUNT(A8:A69)</f>
        <v>62</v>
      </c>
      <c r="J71" s="38"/>
      <c r="K71" s="33"/>
      <c r="L71" s="1"/>
      <c r="M71" s="1"/>
      <c r="N71" s="1"/>
    </row>
    <row r="72" spans="1:14" ht="15.6">
      <c r="A72" s="22"/>
      <c r="B72" s="34"/>
      <c r="C72" s="39" t="s">
        <v>82</v>
      </c>
      <c r="D72" s="40"/>
      <c r="E72" s="41">
        <f t="shared" ref="E72:I72" si="6">E71-E73</f>
        <v>59</v>
      </c>
      <c r="F72" s="41">
        <f t="shared" si="6"/>
        <v>61</v>
      </c>
      <c r="G72" s="41">
        <f t="shared" si="6"/>
        <v>58</v>
      </c>
      <c r="H72" s="41">
        <f t="shared" si="6"/>
        <v>60</v>
      </c>
      <c r="I72" s="41">
        <f t="shared" si="6"/>
        <v>60</v>
      </c>
      <c r="J72" s="38"/>
      <c r="K72" s="33"/>
      <c r="L72" s="1"/>
      <c r="M72" s="1"/>
      <c r="N72" s="1"/>
    </row>
    <row r="73" spans="1:14" ht="15.6">
      <c r="A73" s="22"/>
      <c r="B73" s="34"/>
      <c r="C73" s="42" t="s">
        <v>83</v>
      </c>
      <c r="D73" s="43"/>
      <c r="E73" s="44">
        <f t="shared" ref="E73:I73" si="7">(COUNTIF((E8:E69),"=A"))</f>
        <v>3</v>
      </c>
      <c r="F73" s="44">
        <f t="shared" si="7"/>
        <v>1</v>
      </c>
      <c r="G73" s="44">
        <f t="shared" si="7"/>
        <v>4</v>
      </c>
      <c r="H73" s="44">
        <f t="shared" si="7"/>
        <v>2</v>
      </c>
      <c r="I73" s="44">
        <f t="shared" si="7"/>
        <v>2</v>
      </c>
      <c r="J73" s="38"/>
      <c r="K73" s="33"/>
      <c r="L73" s="1"/>
      <c r="M73" s="1"/>
      <c r="N73" s="1"/>
    </row>
    <row r="74" spans="1:14" ht="15.6">
      <c r="A74" s="22"/>
      <c r="B74" s="34"/>
      <c r="C74" s="45" t="s">
        <v>84</v>
      </c>
      <c r="D74" s="46"/>
      <c r="E74" s="47">
        <f t="shared" ref="E74:I74" si="8">E71-(E75+E73)</f>
        <v>52</v>
      </c>
      <c r="F74" s="47">
        <f t="shared" si="8"/>
        <v>56</v>
      </c>
      <c r="G74" s="47">
        <f t="shared" si="8"/>
        <v>42</v>
      </c>
      <c r="H74" s="47">
        <f t="shared" si="8"/>
        <v>45</v>
      </c>
      <c r="I74" s="47">
        <f t="shared" si="8"/>
        <v>51</v>
      </c>
      <c r="J74" s="38"/>
      <c r="K74" s="33"/>
      <c r="L74" s="1"/>
      <c r="M74" s="1"/>
      <c r="N74" s="1"/>
    </row>
    <row r="75" spans="1:14" ht="15.6">
      <c r="A75" s="22"/>
      <c r="B75" s="48"/>
      <c r="C75" s="49" t="s">
        <v>85</v>
      </c>
      <c r="D75" s="50"/>
      <c r="E75" s="51">
        <f>(COUNTIF((E8:E69),"&lt;50"))</f>
        <v>7</v>
      </c>
      <c r="F75" s="51">
        <f t="shared" ref="F75:I75" si="9">COUNTIF((F8:F69),"&lt;50")</f>
        <v>5</v>
      </c>
      <c r="G75" s="51">
        <f t="shared" si="9"/>
        <v>16</v>
      </c>
      <c r="H75" s="51">
        <f t="shared" si="9"/>
        <v>15</v>
      </c>
      <c r="I75" s="51">
        <f t="shared" si="9"/>
        <v>9</v>
      </c>
      <c r="J75" s="38"/>
      <c r="K75" s="33"/>
      <c r="L75" s="1"/>
      <c r="M75" s="1"/>
      <c r="N75" s="1"/>
    </row>
    <row r="76" spans="1:14" ht="17.399999999999999">
      <c r="A76" s="22"/>
      <c r="B76" s="48"/>
      <c r="C76" s="52" t="s">
        <v>86</v>
      </c>
      <c r="D76" s="53"/>
      <c r="E76" s="80">
        <f t="shared" ref="E76:I76" si="10">(E74/E72)*100</f>
        <v>88.135593220338976</v>
      </c>
      <c r="F76" s="80">
        <f t="shared" si="10"/>
        <v>91.803278688524586</v>
      </c>
      <c r="G76" s="80">
        <f t="shared" si="10"/>
        <v>72.41379310344827</v>
      </c>
      <c r="H76" s="80">
        <f t="shared" si="10"/>
        <v>75</v>
      </c>
      <c r="I76" s="80">
        <f t="shared" si="10"/>
        <v>85</v>
      </c>
      <c r="J76" s="55"/>
      <c r="K76" s="33"/>
      <c r="L76" s="1"/>
      <c r="M76" s="1"/>
      <c r="N76" s="1"/>
    </row>
    <row r="77" spans="1:14" ht="15.6">
      <c r="A77" s="22"/>
      <c r="B77" s="48"/>
      <c r="C77" s="56" t="s">
        <v>87</v>
      </c>
      <c r="D77" s="57"/>
      <c r="E77" s="58">
        <f>COUNTIFS(K8:K69,"=1", E8:E69,"&lt;50")+COUNTIFS(K8:K69,"=1", E8:E69,"=A")</f>
        <v>2</v>
      </c>
      <c r="F77" s="58">
        <f>COUNTIFS(K8:K69,"=1", F8:F69,"&lt;50")+COUNTIFS(K8:K69,"=1", F8:F69,"=A")</f>
        <v>0</v>
      </c>
      <c r="G77" s="58">
        <f>COUNTIFS(K8:K69,"=1", G8:G69,"&lt;50")+COUNTIFS(K8:K69,"=1", G8:G69,"=A")</f>
        <v>6</v>
      </c>
      <c r="H77" s="58">
        <f>COUNTIFS(K8:K69,"=1", H8:H69,"&lt;50")+COUNTIFS(K8:K69,"=1", H8:H69,"=A")</f>
        <v>4</v>
      </c>
      <c r="I77" s="58">
        <f>COUNTIFS(K8:K69,"=1", I8:I69,"&lt;50")+COUNTIFS(K8:K69,"=1", I8:I69,"=A")</f>
        <v>3</v>
      </c>
      <c r="J77" s="38"/>
      <c r="K77" s="33"/>
      <c r="L77" s="1"/>
      <c r="M77" s="1"/>
      <c r="N77" s="1"/>
    </row>
    <row r="78" spans="1:14" ht="8.25" customHeight="1">
      <c r="A78" s="22"/>
      <c r="B78" s="1"/>
      <c r="C78" s="59"/>
      <c r="D78" s="22"/>
      <c r="E78" s="81"/>
      <c r="F78" s="22"/>
      <c r="G78" s="61"/>
      <c r="H78" s="61"/>
      <c r="I78" s="1"/>
      <c r="J78" s="22"/>
      <c r="K78" s="33"/>
      <c r="L78" s="1"/>
      <c r="M78" s="1"/>
      <c r="N78" s="1"/>
    </row>
    <row r="79" spans="1:14" ht="18">
      <c r="A79" s="22"/>
      <c r="B79" s="48"/>
      <c r="C79" s="62" t="s">
        <v>88</v>
      </c>
      <c r="D79" s="63"/>
      <c r="E79" s="64">
        <f>COUNTIF((K8:K69),"=0")</f>
        <v>30</v>
      </c>
      <c r="F79" s="55"/>
      <c r="G79" s="61"/>
      <c r="H79" s="61"/>
      <c r="I79" s="1"/>
      <c r="J79" s="22"/>
      <c r="K79" s="33"/>
      <c r="L79" s="1"/>
      <c r="M79" s="1"/>
      <c r="N79" s="1"/>
    </row>
    <row r="80" spans="1:14" ht="18">
      <c r="A80" s="22"/>
      <c r="B80" s="48"/>
      <c r="C80" s="62" t="s">
        <v>89</v>
      </c>
      <c r="D80" s="63"/>
      <c r="E80" s="64">
        <f>(COUNTIF((K8:K69),"&gt;0"))</f>
        <v>32</v>
      </c>
      <c r="F80" s="1"/>
      <c r="G80" s="61"/>
      <c r="H80" s="61"/>
      <c r="I80" s="1"/>
      <c r="J80" s="22"/>
      <c r="K80" s="33"/>
      <c r="L80" s="1"/>
      <c r="M80" s="1"/>
      <c r="N80" s="1"/>
    </row>
    <row r="81" spans="1:14" ht="18">
      <c r="A81" s="22"/>
      <c r="B81" s="48"/>
      <c r="C81" s="62" t="s">
        <v>90</v>
      </c>
      <c r="D81" s="63"/>
      <c r="E81" s="64">
        <f>(COUNTIF((M8:M69),"=5"))</f>
        <v>1</v>
      </c>
      <c r="F81" s="1"/>
      <c r="G81" s="61"/>
      <c r="H81" s="61"/>
      <c r="I81" s="1"/>
      <c r="J81" s="22"/>
      <c r="K81" s="33"/>
      <c r="L81" s="1"/>
      <c r="M81" s="1"/>
      <c r="N81" s="1"/>
    </row>
    <row r="82" spans="1:14" ht="18">
      <c r="A82" s="22"/>
      <c r="B82" s="48"/>
      <c r="C82" s="62" t="s">
        <v>91</v>
      </c>
      <c r="D82" s="65"/>
      <c r="E82" s="64">
        <f>COUNT(A8:A69)-E81</f>
        <v>61</v>
      </c>
      <c r="F82" s="1"/>
      <c r="G82" s="61"/>
      <c r="H82" s="61"/>
      <c r="I82" s="1"/>
      <c r="J82" s="22"/>
      <c r="K82" s="33"/>
      <c r="L82" s="1"/>
      <c r="M82" s="1"/>
      <c r="N82" s="1"/>
    </row>
    <row r="83" spans="1:14" ht="18">
      <c r="A83" s="22"/>
      <c r="B83" s="48"/>
      <c r="C83" s="62" t="s">
        <v>92</v>
      </c>
      <c r="D83" s="65"/>
      <c r="E83" s="66">
        <f>(E79/E82)*100</f>
        <v>49.180327868852459</v>
      </c>
      <c r="F83" s="1"/>
      <c r="G83" s="61"/>
      <c r="H83" s="61"/>
      <c r="I83" s="1"/>
      <c r="J83" s="22"/>
      <c r="K83" s="33"/>
      <c r="L83" s="1"/>
      <c r="M83" s="1"/>
      <c r="N83" s="1"/>
    </row>
    <row r="84" spans="1:14" ht="34.799999999999997" customHeight="1">
      <c r="A84" s="22"/>
      <c r="B84" s="48"/>
      <c r="C84" s="62" t="s">
        <v>93</v>
      </c>
      <c r="D84" s="65"/>
      <c r="E84" s="67">
        <f>MAX(J8:J69)</f>
        <v>90</v>
      </c>
      <c r="F84" s="22"/>
      <c r="G84" s="61"/>
      <c r="H84" s="61"/>
      <c r="I84" s="1"/>
      <c r="J84" s="22"/>
      <c r="K84" s="33"/>
      <c r="L84" s="1"/>
      <c r="M84" s="1"/>
      <c r="N84" s="1"/>
    </row>
    <row r="85" spans="1:14" ht="17.399999999999999" customHeight="1">
      <c r="A85" s="22"/>
      <c r="B85" s="1"/>
      <c r="C85" s="1"/>
      <c r="D85" s="22"/>
      <c r="E85" s="22"/>
      <c r="F85" s="22"/>
      <c r="G85" s="61"/>
      <c r="H85" s="61"/>
      <c r="I85" s="1"/>
      <c r="J85" s="22"/>
      <c r="K85" s="33"/>
      <c r="L85" s="1"/>
      <c r="M85" s="1"/>
      <c r="N85" s="1"/>
    </row>
    <row r="86" spans="1:14" ht="17.399999999999999" customHeight="1">
      <c r="A86" s="22"/>
      <c r="B86" s="29"/>
      <c r="C86" s="29"/>
      <c r="D86" s="1"/>
      <c r="E86" s="29"/>
      <c r="F86" s="29"/>
      <c r="G86" s="68"/>
      <c r="H86" s="68"/>
      <c r="I86" s="1"/>
      <c r="J86" s="1"/>
      <c r="K86" s="55"/>
      <c r="L86" s="38"/>
      <c r="M86" s="1"/>
      <c r="N86" s="1"/>
    </row>
    <row r="87" spans="1:14" ht="13.2">
      <c r="G87" s="69"/>
      <c r="H87" s="69"/>
    </row>
    <row r="88" spans="1:14" ht="13.2">
      <c r="G88" s="69"/>
      <c r="H88" s="69"/>
    </row>
    <row r="89" spans="1:14" ht="13.2">
      <c r="G89" s="69"/>
      <c r="H89" s="69"/>
    </row>
    <row r="90" spans="1:14" ht="13.2">
      <c r="G90" s="69"/>
      <c r="H90" s="69"/>
    </row>
    <row r="91" spans="1:14" ht="13.2">
      <c r="G91" s="69"/>
      <c r="H91" s="69"/>
    </row>
    <row r="92" spans="1:14" ht="13.2">
      <c r="G92" s="69"/>
      <c r="H92" s="69"/>
    </row>
    <row r="93" spans="1:14" ht="13.2">
      <c r="G93" s="69"/>
      <c r="H93" s="69"/>
    </row>
    <row r="94" spans="1:14" ht="13.2">
      <c r="G94" s="69"/>
      <c r="H94" s="69"/>
    </row>
    <row r="95" spans="1:14" ht="13.2">
      <c r="G95" s="69"/>
      <c r="H95" s="69"/>
    </row>
    <row r="96" spans="1:14" ht="13.2">
      <c r="G96" s="69"/>
      <c r="H96" s="69"/>
    </row>
    <row r="97" spans="7:8" ht="13.2">
      <c r="G97" s="69"/>
      <c r="H97" s="69"/>
    </row>
    <row r="98" spans="7:8" ht="13.2">
      <c r="G98" s="69"/>
      <c r="H98" s="69"/>
    </row>
    <row r="99" spans="7:8" ht="13.2">
      <c r="G99" s="69"/>
      <c r="H99" s="69"/>
    </row>
    <row r="100" spans="7:8" ht="13.2">
      <c r="G100" s="69"/>
      <c r="H100" s="69"/>
    </row>
    <row r="101" spans="7:8" ht="13.2">
      <c r="G101" s="69"/>
      <c r="H101" s="69"/>
    </row>
    <row r="102" spans="7:8" ht="13.2">
      <c r="G102" s="69"/>
      <c r="H102" s="69"/>
    </row>
    <row r="103" spans="7:8" ht="13.2">
      <c r="G103" s="69"/>
      <c r="H103" s="69"/>
    </row>
    <row r="104" spans="7:8" ht="13.2">
      <c r="G104" s="69"/>
      <c r="H104" s="69"/>
    </row>
    <row r="105" spans="7:8" ht="13.2">
      <c r="G105" s="69"/>
      <c r="H105" s="69"/>
    </row>
    <row r="106" spans="7:8" ht="13.2">
      <c r="G106" s="69"/>
      <c r="H106" s="69"/>
    </row>
    <row r="107" spans="7:8" ht="13.2">
      <c r="G107" s="69"/>
      <c r="H107" s="69"/>
    </row>
    <row r="108" spans="7:8" ht="13.2">
      <c r="G108" s="69"/>
      <c r="H108" s="69"/>
    </row>
    <row r="109" spans="7:8" ht="13.2">
      <c r="G109" s="69"/>
      <c r="H109" s="69"/>
    </row>
    <row r="110" spans="7:8" ht="13.2">
      <c r="G110" s="69"/>
      <c r="H110" s="69"/>
    </row>
    <row r="111" spans="7:8" ht="13.2">
      <c r="G111" s="69"/>
      <c r="H111" s="69"/>
    </row>
    <row r="112" spans="7:8" ht="13.2">
      <c r="G112" s="69"/>
      <c r="H112" s="69"/>
    </row>
    <row r="113" spans="7:8" ht="13.2">
      <c r="G113" s="69"/>
      <c r="H113" s="69"/>
    </row>
    <row r="114" spans="7:8" ht="13.2">
      <c r="G114" s="69"/>
      <c r="H114" s="69"/>
    </row>
    <row r="115" spans="7:8" ht="13.2">
      <c r="G115" s="69"/>
      <c r="H115" s="69"/>
    </row>
    <row r="116" spans="7:8" ht="13.2">
      <c r="G116" s="69"/>
      <c r="H116" s="69"/>
    </row>
    <row r="117" spans="7:8" ht="13.2">
      <c r="G117" s="69"/>
      <c r="H117" s="69"/>
    </row>
    <row r="118" spans="7:8" ht="13.2">
      <c r="G118" s="69"/>
      <c r="H118" s="69"/>
    </row>
    <row r="119" spans="7:8" ht="13.2">
      <c r="G119" s="69"/>
      <c r="H119" s="69"/>
    </row>
    <row r="120" spans="7:8" ht="13.2">
      <c r="G120" s="69"/>
      <c r="H120" s="69"/>
    </row>
    <row r="121" spans="7:8" ht="13.2">
      <c r="G121" s="69"/>
      <c r="H121" s="69"/>
    </row>
    <row r="122" spans="7:8" ht="13.2">
      <c r="G122" s="69"/>
      <c r="H122" s="69"/>
    </row>
    <row r="123" spans="7:8" ht="13.2">
      <c r="G123" s="69"/>
      <c r="H123" s="69"/>
    </row>
    <row r="124" spans="7:8" ht="13.2">
      <c r="G124" s="69"/>
      <c r="H124" s="69"/>
    </row>
    <row r="125" spans="7:8" ht="13.2">
      <c r="G125" s="69"/>
      <c r="H125" s="69"/>
    </row>
    <row r="126" spans="7:8" ht="13.2">
      <c r="G126" s="69"/>
      <c r="H126" s="69"/>
    </row>
    <row r="127" spans="7:8" ht="13.2">
      <c r="G127" s="69"/>
      <c r="H127" s="69"/>
    </row>
    <row r="128" spans="7:8" ht="13.2">
      <c r="G128" s="69"/>
      <c r="H128" s="69"/>
    </row>
    <row r="129" spans="7:8" ht="13.2">
      <c r="G129" s="69"/>
      <c r="H129" s="69"/>
    </row>
    <row r="130" spans="7:8" ht="13.2">
      <c r="G130" s="69"/>
      <c r="H130" s="69"/>
    </row>
    <row r="131" spans="7:8" ht="13.2">
      <c r="G131" s="69"/>
      <c r="H131" s="69"/>
    </row>
    <row r="132" spans="7:8" ht="13.2">
      <c r="G132" s="69"/>
      <c r="H132" s="69"/>
    </row>
    <row r="133" spans="7:8" ht="13.2">
      <c r="G133" s="69"/>
      <c r="H133" s="69"/>
    </row>
    <row r="134" spans="7:8" ht="13.2">
      <c r="G134" s="69"/>
      <c r="H134" s="69"/>
    </row>
    <row r="135" spans="7:8" ht="13.2">
      <c r="G135" s="69"/>
      <c r="H135" s="69"/>
    </row>
    <row r="136" spans="7:8" ht="13.2">
      <c r="G136" s="69"/>
      <c r="H136" s="69"/>
    </row>
    <row r="137" spans="7:8" ht="13.2">
      <c r="G137" s="69"/>
      <c r="H137" s="69"/>
    </row>
    <row r="138" spans="7:8" ht="13.2">
      <c r="G138" s="69"/>
      <c r="H138" s="69"/>
    </row>
    <row r="139" spans="7:8" ht="13.2">
      <c r="G139" s="69"/>
      <c r="H139" s="69"/>
    </row>
    <row r="140" spans="7:8" ht="13.2">
      <c r="G140" s="69"/>
      <c r="H140" s="69"/>
    </row>
    <row r="141" spans="7:8" ht="13.2">
      <c r="G141" s="69"/>
      <c r="H141" s="69"/>
    </row>
    <row r="142" spans="7:8" ht="13.2">
      <c r="G142" s="69"/>
      <c r="H142" s="69"/>
    </row>
    <row r="143" spans="7:8" ht="13.2">
      <c r="G143" s="69"/>
      <c r="H143" s="69"/>
    </row>
    <row r="144" spans="7:8" ht="13.2">
      <c r="G144" s="69"/>
      <c r="H144" s="69"/>
    </row>
    <row r="145" spans="7:8" ht="13.2">
      <c r="G145" s="69"/>
      <c r="H145" s="69"/>
    </row>
    <row r="146" spans="7:8" ht="13.2">
      <c r="G146" s="69"/>
      <c r="H146" s="69"/>
    </row>
    <row r="147" spans="7:8" ht="13.2">
      <c r="G147" s="69"/>
      <c r="H147" s="69"/>
    </row>
    <row r="148" spans="7:8" ht="13.2">
      <c r="G148" s="69"/>
      <c r="H148" s="69"/>
    </row>
    <row r="149" spans="7:8" ht="13.2">
      <c r="G149" s="69"/>
      <c r="H149" s="69"/>
    </row>
    <row r="150" spans="7:8" ht="13.2">
      <c r="G150" s="69"/>
      <c r="H150" s="69"/>
    </row>
    <row r="151" spans="7:8" ht="13.2">
      <c r="G151" s="69"/>
      <c r="H151" s="69"/>
    </row>
    <row r="152" spans="7:8" ht="13.2">
      <c r="G152" s="69"/>
      <c r="H152" s="69"/>
    </row>
    <row r="153" spans="7:8" ht="13.2">
      <c r="G153" s="69"/>
      <c r="H153" s="69"/>
    </row>
    <row r="154" spans="7:8" ht="13.2">
      <c r="G154" s="69"/>
      <c r="H154" s="69"/>
    </row>
    <row r="155" spans="7:8" ht="13.2">
      <c r="G155" s="69"/>
      <c r="H155" s="69"/>
    </row>
    <row r="156" spans="7:8" ht="13.2">
      <c r="G156" s="69"/>
      <c r="H156" s="69"/>
    </row>
    <row r="157" spans="7:8" ht="13.2">
      <c r="G157" s="69"/>
      <c r="H157" s="69"/>
    </row>
    <row r="158" spans="7:8" ht="13.2">
      <c r="G158" s="69"/>
      <c r="H158" s="69"/>
    </row>
    <row r="159" spans="7:8" ht="13.2">
      <c r="G159" s="69"/>
      <c r="H159" s="69"/>
    </row>
    <row r="160" spans="7:8" ht="13.2">
      <c r="G160" s="69"/>
      <c r="H160" s="69"/>
    </row>
    <row r="161" spans="7:8" ht="13.2">
      <c r="G161" s="69"/>
      <c r="H161" s="69"/>
    </row>
    <row r="162" spans="7:8" ht="13.2">
      <c r="G162" s="69"/>
      <c r="H162" s="69"/>
    </row>
    <row r="163" spans="7:8" ht="13.2">
      <c r="G163" s="69"/>
      <c r="H163" s="69"/>
    </row>
    <row r="164" spans="7:8" ht="13.2">
      <c r="G164" s="69"/>
      <c r="H164" s="69"/>
    </row>
    <row r="165" spans="7:8" ht="13.2">
      <c r="G165" s="69"/>
      <c r="H165" s="69"/>
    </row>
    <row r="166" spans="7:8" ht="13.2">
      <c r="G166" s="69"/>
      <c r="H166" s="69"/>
    </row>
    <row r="167" spans="7:8" ht="13.2">
      <c r="G167" s="69"/>
      <c r="H167" s="69"/>
    </row>
    <row r="168" spans="7:8" ht="13.2">
      <c r="G168" s="69"/>
      <c r="H168" s="69"/>
    </row>
    <row r="169" spans="7:8" ht="13.2">
      <c r="G169" s="69"/>
      <c r="H169" s="69"/>
    </row>
    <row r="170" spans="7:8" ht="13.2">
      <c r="G170" s="69"/>
      <c r="H170" s="69"/>
    </row>
    <row r="171" spans="7:8" ht="13.2">
      <c r="G171" s="69"/>
      <c r="H171" s="69"/>
    </row>
    <row r="172" spans="7:8" ht="13.2">
      <c r="G172" s="69"/>
      <c r="H172" s="69"/>
    </row>
    <row r="173" spans="7:8" ht="13.2">
      <c r="G173" s="69"/>
      <c r="H173" s="69"/>
    </row>
    <row r="174" spans="7:8" ht="13.2">
      <c r="G174" s="69"/>
      <c r="H174" s="69"/>
    </row>
    <row r="175" spans="7:8" ht="13.2">
      <c r="G175" s="69"/>
      <c r="H175" s="69"/>
    </row>
    <row r="176" spans="7:8" ht="13.2">
      <c r="G176" s="69"/>
      <c r="H176" s="69"/>
    </row>
    <row r="177" spans="7:8" ht="13.2">
      <c r="G177" s="69"/>
      <c r="H177" s="69"/>
    </row>
    <row r="178" spans="7:8" ht="13.2">
      <c r="G178" s="69"/>
      <c r="H178" s="69"/>
    </row>
    <row r="179" spans="7:8" ht="13.2">
      <c r="G179" s="69"/>
      <c r="H179" s="69"/>
    </row>
    <row r="180" spans="7:8" ht="13.2">
      <c r="G180" s="69"/>
      <c r="H180" s="69"/>
    </row>
    <row r="181" spans="7:8" ht="13.2">
      <c r="G181" s="69"/>
      <c r="H181" s="69"/>
    </row>
    <row r="182" spans="7:8" ht="13.2">
      <c r="G182" s="69"/>
      <c r="H182" s="69"/>
    </row>
    <row r="183" spans="7:8" ht="13.2">
      <c r="G183" s="69"/>
      <c r="H183" s="69"/>
    </row>
    <row r="184" spans="7:8" ht="13.2">
      <c r="G184" s="69"/>
      <c r="H184" s="69"/>
    </row>
    <row r="185" spans="7:8" ht="13.2">
      <c r="G185" s="69"/>
      <c r="H185" s="69"/>
    </row>
    <row r="186" spans="7:8" ht="13.2">
      <c r="G186" s="69"/>
      <c r="H186" s="69"/>
    </row>
    <row r="187" spans="7:8" ht="13.2">
      <c r="G187" s="69"/>
      <c r="H187" s="69"/>
    </row>
    <row r="188" spans="7:8" ht="13.2">
      <c r="G188" s="69"/>
      <c r="H188" s="69"/>
    </row>
    <row r="189" spans="7:8" ht="13.2">
      <c r="G189" s="69"/>
      <c r="H189" s="69"/>
    </row>
    <row r="190" spans="7:8" ht="13.2">
      <c r="G190" s="69"/>
      <c r="H190" s="69"/>
    </row>
    <row r="191" spans="7:8" ht="13.2">
      <c r="G191" s="69"/>
      <c r="H191" s="69"/>
    </row>
    <row r="192" spans="7:8" ht="13.2">
      <c r="G192" s="69"/>
      <c r="H192" s="69"/>
    </row>
    <row r="193" spans="7:8" ht="13.2">
      <c r="G193" s="69"/>
      <c r="H193" s="69"/>
    </row>
    <row r="194" spans="7:8" ht="13.2">
      <c r="G194" s="69"/>
      <c r="H194" s="69"/>
    </row>
    <row r="195" spans="7:8" ht="13.2">
      <c r="G195" s="69"/>
      <c r="H195" s="69"/>
    </row>
    <row r="196" spans="7:8" ht="13.2">
      <c r="G196" s="69"/>
      <c r="H196" s="69"/>
    </row>
    <row r="197" spans="7:8" ht="13.2">
      <c r="G197" s="69"/>
      <c r="H197" s="69"/>
    </row>
    <row r="198" spans="7:8" ht="13.2">
      <c r="G198" s="69"/>
      <c r="H198" s="69"/>
    </row>
    <row r="199" spans="7:8" ht="13.2">
      <c r="G199" s="69"/>
      <c r="H199" s="69"/>
    </row>
    <row r="200" spans="7:8" ht="13.2">
      <c r="G200" s="69"/>
      <c r="H200" s="69"/>
    </row>
    <row r="201" spans="7:8" ht="13.2">
      <c r="G201" s="69"/>
      <c r="H201" s="69"/>
    </row>
    <row r="202" spans="7:8" ht="13.2">
      <c r="G202" s="69"/>
      <c r="H202" s="69"/>
    </row>
    <row r="203" spans="7:8" ht="13.2">
      <c r="G203" s="69"/>
      <c r="H203" s="69"/>
    </row>
    <row r="204" spans="7:8" ht="13.2">
      <c r="G204" s="69"/>
      <c r="H204" s="69"/>
    </row>
    <row r="205" spans="7:8" ht="13.2">
      <c r="G205" s="69"/>
      <c r="H205" s="69"/>
    </row>
    <row r="206" spans="7:8" ht="13.2">
      <c r="G206" s="69"/>
      <c r="H206" s="69"/>
    </row>
    <row r="207" spans="7:8" ht="13.2">
      <c r="G207" s="69"/>
      <c r="H207" s="69"/>
    </row>
    <row r="208" spans="7:8" ht="13.2">
      <c r="G208" s="69"/>
      <c r="H208" s="69"/>
    </row>
    <row r="209" spans="7:8" ht="13.2">
      <c r="G209" s="69"/>
      <c r="H209" s="69"/>
    </row>
    <row r="210" spans="7:8" ht="13.2">
      <c r="G210" s="69"/>
      <c r="H210" s="69"/>
    </row>
    <row r="211" spans="7:8" ht="13.2">
      <c r="G211" s="69"/>
      <c r="H211" s="69"/>
    </row>
    <row r="212" spans="7:8" ht="13.2">
      <c r="G212" s="69"/>
      <c r="H212" s="69"/>
    </row>
    <row r="213" spans="7:8" ht="13.2">
      <c r="G213" s="69"/>
      <c r="H213" s="69"/>
    </row>
    <row r="214" spans="7:8" ht="13.2">
      <c r="G214" s="69"/>
      <c r="H214" s="69"/>
    </row>
    <row r="215" spans="7:8" ht="13.2">
      <c r="G215" s="69"/>
      <c r="H215" s="69"/>
    </row>
    <row r="216" spans="7:8" ht="13.2">
      <c r="G216" s="69"/>
      <c r="H216" s="69"/>
    </row>
    <row r="217" spans="7:8" ht="13.2">
      <c r="G217" s="69"/>
      <c r="H217" s="69"/>
    </row>
    <row r="218" spans="7:8" ht="13.2">
      <c r="G218" s="69"/>
      <c r="H218" s="69"/>
    </row>
    <row r="219" spans="7:8" ht="13.2">
      <c r="G219" s="69"/>
      <c r="H219" s="69"/>
    </row>
    <row r="220" spans="7:8" ht="13.2">
      <c r="G220" s="69"/>
      <c r="H220" s="69"/>
    </row>
    <row r="221" spans="7:8" ht="13.2">
      <c r="G221" s="69"/>
      <c r="H221" s="69"/>
    </row>
    <row r="222" spans="7:8" ht="13.2">
      <c r="G222" s="69"/>
      <c r="H222" s="69"/>
    </row>
    <row r="223" spans="7:8" ht="13.2">
      <c r="G223" s="69"/>
      <c r="H223" s="69"/>
    </row>
    <row r="224" spans="7:8" ht="13.2">
      <c r="G224" s="69"/>
      <c r="H224" s="69"/>
    </row>
    <row r="225" spans="7:8" ht="13.2">
      <c r="G225" s="69"/>
      <c r="H225" s="69"/>
    </row>
    <row r="226" spans="7:8" ht="13.2">
      <c r="G226" s="69"/>
      <c r="H226" s="69"/>
    </row>
    <row r="227" spans="7:8" ht="13.2">
      <c r="G227" s="69"/>
      <c r="H227" s="69"/>
    </row>
    <row r="228" spans="7:8" ht="13.2">
      <c r="G228" s="69"/>
      <c r="H228" s="69"/>
    </row>
    <row r="229" spans="7:8" ht="13.2">
      <c r="G229" s="69"/>
      <c r="H229" s="69"/>
    </row>
    <row r="230" spans="7:8" ht="13.2">
      <c r="G230" s="69"/>
      <c r="H230" s="69"/>
    </row>
    <row r="231" spans="7:8" ht="13.2">
      <c r="G231" s="69"/>
      <c r="H231" s="69"/>
    </row>
    <row r="232" spans="7:8" ht="13.2">
      <c r="G232" s="69"/>
      <c r="H232" s="69"/>
    </row>
    <row r="233" spans="7:8" ht="13.2">
      <c r="G233" s="69"/>
      <c r="H233" s="69"/>
    </row>
    <row r="234" spans="7:8" ht="13.2">
      <c r="G234" s="69"/>
      <c r="H234" s="69"/>
    </row>
    <row r="235" spans="7:8" ht="13.2">
      <c r="G235" s="69"/>
      <c r="H235" s="69"/>
    </row>
    <row r="236" spans="7:8" ht="13.2">
      <c r="G236" s="69"/>
      <c r="H236" s="69"/>
    </row>
    <row r="237" spans="7:8" ht="13.2">
      <c r="G237" s="69"/>
      <c r="H237" s="69"/>
    </row>
    <row r="238" spans="7:8" ht="13.2">
      <c r="G238" s="69"/>
      <c r="H238" s="69"/>
    </row>
    <row r="239" spans="7:8" ht="13.2">
      <c r="G239" s="69"/>
      <c r="H239" s="69"/>
    </row>
    <row r="240" spans="7:8" ht="13.2">
      <c r="G240" s="69"/>
      <c r="H240" s="69"/>
    </row>
    <row r="241" spans="7:8" ht="13.2">
      <c r="G241" s="69"/>
      <c r="H241" s="69"/>
    </row>
    <row r="242" spans="7:8" ht="13.2">
      <c r="G242" s="69"/>
      <c r="H242" s="69"/>
    </row>
    <row r="243" spans="7:8" ht="13.2">
      <c r="G243" s="69"/>
      <c r="H243" s="69"/>
    </row>
    <row r="244" spans="7:8" ht="13.2">
      <c r="G244" s="69"/>
      <c r="H244" s="69"/>
    </row>
    <row r="245" spans="7:8" ht="13.2">
      <c r="G245" s="69"/>
      <c r="H245" s="69"/>
    </row>
    <row r="246" spans="7:8" ht="13.2">
      <c r="G246" s="69"/>
      <c r="H246" s="69"/>
    </row>
    <row r="247" spans="7:8" ht="13.2">
      <c r="G247" s="69"/>
      <c r="H247" s="69"/>
    </row>
    <row r="248" spans="7:8" ht="13.2">
      <c r="G248" s="69"/>
      <c r="H248" s="69"/>
    </row>
    <row r="249" spans="7:8" ht="13.2">
      <c r="G249" s="69"/>
      <c r="H249" s="69"/>
    </row>
    <row r="250" spans="7:8" ht="13.2">
      <c r="G250" s="69"/>
      <c r="H250" s="69"/>
    </row>
    <row r="251" spans="7:8" ht="13.2">
      <c r="G251" s="69"/>
      <c r="H251" s="69"/>
    </row>
    <row r="252" spans="7:8" ht="13.2">
      <c r="G252" s="69"/>
      <c r="H252" s="69"/>
    </row>
    <row r="253" spans="7:8" ht="13.2">
      <c r="G253" s="69"/>
      <c r="H253" s="69"/>
    </row>
    <row r="254" spans="7:8" ht="13.2">
      <c r="G254" s="69"/>
      <c r="H254" s="69"/>
    </row>
    <row r="255" spans="7:8" ht="13.2">
      <c r="G255" s="69"/>
      <c r="H255" s="69"/>
    </row>
    <row r="256" spans="7:8" ht="13.2">
      <c r="G256" s="69"/>
      <c r="H256" s="69"/>
    </row>
    <row r="257" spans="7:8" ht="13.2">
      <c r="G257" s="69"/>
      <c r="H257" s="69"/>
    </row>
    <row r="258" spans="7:8" ht="13.2">
      <c r="G258" s="69"/>
      <c r="H258" s="69"/>
    </row>
    <row r="259" spans="7:8" ht="13.2">
      <c r="G259" s="69"/>
      <c r="H259" s="69"/>
    </row>
    <row r="260" spans="7:8" ht="13.2">
      <c r="G260" s="69"/>
      <c r="H260" s="69"/>
    </row>
    <row r="261" spans="7:8" ht="13.2">
      <c r="G261" s="69"/>
      <c r="H261" s="69"/>
    </row>
    <row r="262" spans="7:8" ht="13.2">
      <c r="G262" s="69"/>
      <c r="H262" s="69"/>
    </row>
    <row r="263" spans="7:8" ht="13.2">
      <c r="G263" s="69"/>
      <c r="H263" s="69"/>
    </row>
    <row r="264" spans="7:8" ht="13.2">
      <c r="G264" s="69"/>
      <c r="H264" s="69"/>
    </row>
    <row r="265" spans="7:8" ht="13.2">
      <c r="G265" s="69"/>
      <c r="H265" s="69"/>
    </row>
    <row r="266" spans="7:8" ht="13.2">
      <c r="G266" s="69"/>
      <c r="H266" s="69"/>
    </row>
    <row r="267" spans="7:8" ht="13.2">
      <c r="G267" s="69"/>
      <c r="H267" s="69"/>
    </row>
    <row r="268" spans="7:8" ht="13.2">
      <c r="G268" s="69"/>
      <c r="H268" s="69"/>
    </row>
    <row r="269" spans="7:8" ht="13.2">
      <c r="G269" s="69"/>
      <c r="H269" s="69"/>
    </row>
    <row r="270" spans="7:8" ht="13.2">
      <c r="G270" s="69"/>
      <c r="H270" s="69"/>
    </row>
    <row r="271" spans="7:8" ht="13.2">
      <c r="G271" s="69"/>
      <c r="H271" s="69"/>
    </row>
    <row r="272" spans="7:8" ht="13.2">
      <c r="G272" s="69"/>
      <c r="H272" s="69"/>
    </row>
    <row r="273" spans="7:8" ht="13.2">
      <c r="G273" s="69"/>
      <c r="H273" s="69"/>
    </row>
    <row r="274" spans="7:8" ht="13.2">
      <c r="G274" s="69"/>
      <c r="H274" s="69"/>
    </row>
    <row r="275" spans="7:8" ht="13.2">
      <c r="G275" s="69"/>
      <c r="H275" s="69"/>
    </row>
    <row r="276" spans="7:8" ht="13.2">
      <c r="G276" s="69"/>
      <c r="H276" s="69"/>
    </row>
    <row r="277" spans="7:8" ht="13.2">
      <c r="G277" s="69"/>
      <c r="H277" s="69"/>
    </row>
    <row r="278" spans="7:8" ht="13.2">
      <c r="G278" s="69"/>
      <c r="H278" s="69"/>
    </row>
    <row r="279" spans="7:8" ht="13.2">
      <c r="G279" s="69"/>
      <c r="H279" s="69"/>
    </row>
    <row r="280" spans="7:8" ht="13.2">
      <c r="G280" s="69"/>
      <c r="H280" s="69"/>
    </row>
    <row r="281" spans="7:8" ht="13.2">
      <c r="G281" s="69"/>
      <c r="H281" s="69"/>
    </row>
    <row r="282" spans="7:8" ht="13.2">
      <c r="G282" s="69"/>
      <c r="H282" s="69"/>
    </row>
    <row r="283" spans="7:8" ht="13.2">
      <c r="G283" s="69"/>
      <c r="H283" s="69"/>
    </row>
    <row r="284" spans="7:8" ht="13.2">
      <c r="G284" s="69"/>
      <c r="H284" s="69"/>
    </row>
    <row r="285" spans="7:8" ht="13.2">
      <c r="G285" s="69"/>
      <c r="H285" s="69"/>
    </row>
    <row r="286" spans="7:8" ht="13.2">
      <c r="G286" s="69"/>
      <c r="H286" s="69"/>
    </row>
    <row r="287" spans="7:8" ht="13.2">
      <c r="G287" s="69"/>
      <c r="H287" s="69"/>
    </row>
    <row r="288" spans="7:8" ht="13.2">
      <c r="G288" s="69"/>
      <c r="H288" s="69"/>
    </row>
    <row r="289" spans="7:8" ht="13.2">
      <c r="G289" s="69"/>
      <c r="H289" s="69"/>
    </row>
    <row r="290" spans="7:8" ht="13.2">
      <c r="G290" s="69"/>
      <c r="H290" s="69"/>
    </row>
    <row r="291" spans="7:8" ht="13.2">
      <c r="G291" s="69"/>
      <c r="H291" s="69"/>
    </row>
    <row r="292" spans="7:8" ht="13.2">
      <c r="G292" s="69"/>
      <c r="H292" s="69"/>
    </row>
    <row r="293" spans="7:8" ht="13.2">
      <c r="G293" s="69"/>
      <c r="H293" s="69"/>
    </row>
    <row r="294" spans="7:8" ht="13.2">
      <c r="G294" s="69"/>
      <c r="H294" s="69"/>
    </row>
    <row r="295" spans="7:8" ht="13.2">
      <c r="G295" s="69"/>
      <c r="H295" s="69"/>
    </row>
    <row r="296" spans="7:8" ht="13.2">
      <c r="G296" s="69"/>
      <c r="H296" s="69"/>
    </row>
    <row r="297" spans="7:8" ht="13.2">
      <c r="G297" s="69"/>
      <c r="H297" s="69"/>
    </row>
    <row r="298" spans="7:8" ht="13.2">
      <c r="G298" s="69"/>
      <c r="H298" s="69"/>
    </row>
    <row r="299" spans="7:8" ht="13.2">
      <c r="G299" s="69"/>
      <c r="H299" s="69"/>
    </row>
    <row r="300" spans="7:8" ht="13.2">
      <c r="G300" s="69"/>
      <c r="H300" s="69"/>
    </row>
    <row r="301" spans="7:8" ht="13.2">
      <c r="G301" s="69"/>
      <c r="H301" s="69"/>
    </row>
    <row r="302" spans="7:8" ht="13.2">
      <c r="G302" s="69"/>
      <c r="H302" s="69"/>
    </row>
    <row r="303" spans="7:8" ht="13.2">
      <c r="G303" s="69"/>
      <c r="H303" s="69"/>
    </row>
    <row r="304" spans="7:8" ht="13.2">
      <c r="G304" s="69"/>
      <c r="H304" s="69"/>
    </row>
    <row r="305" spans="7:8" ht="13.2">
      <c r="G305" s="69"/>
      <c r="H305" s="69"/>
    </row>
    <row r="306" spans="7:8" ht="13.2">
      <c r="G306" s="69"/>
      <c r="H306" s="69"/>
    </row>
    <row r="307" spans="7:8" ht="13.2">
      <c r="G307" s="69"/>
      <c r="H307" s="69"/>
    </row>
    <row r="308" spans="7:8" ht="13.2">
      <c r="G308" s="69"/>
      <c r="H308" s="69"/>
    </row>
    <row r="309" spans="7:8" ht="13.2">
      <c r="G309" s="69"/>
      <c r="H309" s="69"/>
    </row>
    <row r="310" spans="7:8" ht="13.2">
      <c r="G310" s="69"/>
      <c r="H310" s="69"/>
    </row>
    <row r="311" spans="7:8" ht="13.2">
      <c r="G311" s="69"/>
      <c r="H311" s="69"/>
    </row>
    <row r="312" spans="7:8" ht="13.2">
      <c r="G312" s="69"/>
      <c r="H312" s="69"/>
    </row>
    <row r="313" spans="7:8" ht="13.2">
      <c r="G313" s="69"/>
      <c r="H313" s="69"/>
    </row>
    <row r="314" spans="7:8" ht="13.2">
      <c r="G314" s="69"/>
      <c r="H314" s="69"/>
    </row>
    <row r="315" spans="7:8" ht="13.2">
      <c r="G315" s="69"/>
      <c r="H315" s="69"/>
    </row>
    <row r="316" spans="7:8" ht="13.2">
      <c r="G316" s="69"/>
      <c r="H316" s="69"/>
    </row>
    <row r="317" spans="7:8" ht="13.2">
      <c r="G317" s="69"/>
      <c r="H317" s="69"/>
    </row>
    <row r="318" spans="7:8" ht="13.2">
      <c r="G318" s="69"/>
      <c r="H318" s="69"/>
    </row>
    <row r="319" spans="7:8" ht="13.2">
      <c r="G319" s="69"/>
      <c r="H319" s="69"/>
    </row>
    <row r="320" spans="7:8" ht="13.2">
      <c r="G320" s="69"/>
      <c r="H320" s="69"/>
    </row>
    <row r="321" spans="7:8" ht="13.2">
      <c r="G321" s="69"/>
      <c r="H321" s="69"/>
    </row>
    <row r="322" spans="7:8" ht="13.2">
      <c r="G322" s="69"/>
      <c r="H322" s="69"/>
    </row>
    <row r="323" spans="7:8" ht="13.2">
      <c r="G323" s="69"/>
      <c r="H323" s="69"/>
    </row>
    <row r="324" spans="7:8" ht="13.2">
      <c r="G324" s="69"/>
      <c r="H324" s="69"/>
    </row>
    <row r="325" spans="7:8" ht="13.2">
      <c r="G325" s="69"/>
      <c r="H325" s="69"/>
    </row>
    <row r="326" spans="7:8" ht="13.2">
      <c r="G326" s="69"/>
      <c r="H326" s="69"/>
    </row>
    <row r="327" spans="7:8" ht="13.2">
      <c r="G327" s="69"/>
      <c r="H327" s="69"/>
    </row>
    <row r="328" spans="7:8" ht="13.2">
      <c r="G328" s="69"/>
      <c r="H328" s="69"/>
    </row>
    <row r="329" spans="7:8" ht="13.2">
      <c r="G329" s="69"/>
      <c r="H329" s="69"/>
    </row>
    <row r="330" spans="7:8" ht="13.2">
      <c r="G330" s="69"/>
      <c r="H330" s="69"/>
    </row>
    <row r="331" spans="7:8" ht="13.2">
      <c r="G331" s="69"/>
      <c r="H331" s="69"/>
    </row>
    <row r="332" spans="7:8" ht="13.2">
      <c r="G332" s="69"/>
      <c r="H332" s="69"/>
    </row>
    <row r="333" spans="7:8" ht="13.2">
      <c r="G333" s="69"/>
      <c r="H333" s="69"/>
    </row>
    <row r="334" spans="7:8" ht="13.2">
      <c r="G334" s="69"/>
      <c r="H334" s="69"/>
    </row>
    <row r="335" spans="7:8" ht="13.2">
      <c r="G335" s="69"/>
      <c r="H335" s="69"/>
    </row>
    <row r="336" spans="7:8" ht="13.2">
      <c r="G336" s="69"/>
      <c r="H336" s="69"/>
    </row>
    <row r="337" spans="7:8" ht="13.2">
      <c r="G337" s="69"/>
      <c r="H337" s="69"/>
    </row>
    <row r="338" spans="7:8" ht="13.2">
      <c r="G338" s="69"/>
      <c r="H338" s="69"/>
    </row>
    <row r="339" spans="7:8" ht="13.2">
      <c r="G339" s="69"/>
      <c r="H339" s="69"/>
    </row>
    <row r="340" spans="7:8" ht="13.2">
      <c r="G340" s="69"/>
      <c r="H340" s="69"/>
    </row>
    <row r="341" spans="7:8" ht="13.2">
      <c r="G341" s="69"/>
      <c r="H341" s="69"/>
    </row>
    <row r="342" spans="7:8" ht="13.2">
      <c r="G342" s="69"/>
      <c r="H342" s="69"/>
    </row>
    <row r="343" spans="7:8" ht="13.2">
      <c r="G343" s="69"/>
      <c r="H343" s="69"/>
    </row>
    <row r="344" spans="7:8" ht="13.2">
      <c r="G344" s="69"/>
      <c r="H344" s="69"/>
    </row>
    <row r="345" spans="7:8" ht="13.2">
      <c r="G345" s="69"/>
      <c r="H345" s="69"/>
    </row>
    <row r="346" spans="7:8" ht="13.2">
      <c r="G346" s="69"/>
      <c r="H346" s="69"/>
    </row>
    <row r="347" spans="7:8" ht="13.2">
      <c r="G347" s="69"/>
      <c r="H347" s="69"/>
    </row>
    <row r="348" spans="7:8" ht="13.2">
      <c r="G348" s="69"/>
      <c r="H348" s="69"/>
    </row>
    <row r="349" spans="7:8" ht="13.2">
      <c r="G349" s="69"/>
      <c r="H349" s="69"/>
    </row>
    <row r="350" spans="7:8" ht="13.2">
      <c r="G350" s="69"/>
      <c r="H350" s="69"/>
    </row>
    <row r="351" spans="7:8" ht="13.2">
      <c r="G351" s="69"/>
      <c r="H351" s="69"/>
    </row>
    <row r="352" spans="7:8" ht="13.2">
      <c r="G352" s="69"/>
      <c r="H352" s="69"/>
    </row>
    <row r="353" spans="7:8" ht="13.2">
      <c r="G353" s="69"/>
      <c r="H353" s="69"/>
    </row>
    <row r="354" spans="7:8" ht="13.2">
      <c r="G354" s="69"/>
      <c r="H354" s="69"/>
    </row>
    <row r="355" spans="7:8" ht="13.2">
      <c r="G355" s="69"/>
      <c r="H355" s="69"/>
    </row>
    <row r="356" spans="7:8" ht="13.2">
      <c r="G356" s="69"/>
      <c r="H356" s="69"/>
    </row>
    <row r="357" spans="7:8" ht="13.2">
      <c r="G357" s="69"/>
      <c r="H357" s="69"/>
    </row>
    <row r="358" spans="7:8" ht="13.2">
      <c r="G358" s="69"/>
      <c r="H358" s="69"/>
    </row>
    <row r="359" spans="7:8" ht="13.2">
      <c r="G359" s="69"/>
      <c r="H359" s="69"/>
    </row>
    <row r="360" spans="7:8" ht="13.2">
      <c r="G360" s="69"/>
      <c r="H360" s="69"/>
    </row>
    <row r="361" spans="7:8" ht="13.2">
      <c r="G361" s="69"/>
      <c r="H361" s="69"/>
    </row>
    <row r="362" spans="7:8" ht="13.2">
      <c r="G362" s="69"/>
      <c r="H362" s="69"/>
    </row>
    <row r="363" spans="7:8" ht="13.2">
      <c r="G363" s="69"/>
      <c r="H363" s="69"/>
    </row>
    <row r="364" spans="7:8" ht="13.2">
      <c r="G364" s="69"/>
      <c r="H364" s="69"/>
    </row>
    <row r="365" spans="7:8" ht="13.2">
      <c r="G365" s="69"/>
      <c r="H365" s="69"/>
    </row>
    <row r="366" spans="7:8" ht="13.2">
      <c r="G366" s="69"/>
      <c r="H366" s="69"/>
    </row>
    <row r="367" spans="7:8" ht="13.2">
      <c r="G367" s="69"/>
      <c r="H367" s="69"/>
    </row>
    <row r="368" spans="7:8" ht="13.2">
      <c r="G368" s="69"/>
      <c r="H368" s="69"/>
    </row>
    <row r="369" spans="7:8" ht="13.2">
      <c r="G369" s="69"/>
      <c r="H369" s="69"/>
    </row>
    <row r="370" spans="7:8" ht="13.2">
      <c r="G370" s="69"/>
      <c r="H370" s="69"/>
    </row>
    <row r="371" spans="7:8" ht="13.2">
      <c r="G371" s="69"/>
      <c r="H371" s="69"/>
    </row>
    <row r="372" spans="7:8" ht="13.2">
      <c r="G372" s="69"/>
      <c r="H372" s="69"/>
    </row>
    <row r="373" spans="7:8" ht="13.2">
      <c r="G373" s="69"/>
      <c r="H373" s="69"/>
    </row>
    <row r="374" spans="7:8" ht="13.2">
      <c r="G374" s="69"/>
      <c r="H374" s="69"/>
    </row>
    <row r="375" spans="7:8" ht="13.2">
      <c r="G375" s="69"/>
      <c r="H375" s="69"/>
    </row>
    <row r="376" spans="7:8" ht="13.2">
      <c r="G376" s="69"/>
      <c r="H376" s="69"/>
    </row>
    <row r="377" spans="7:8" ht="13.2">
      <c r="G377" s="69"/>
      <c r="H377" s="69"/>
    </row>
    <row r="378" spans="7:8" ht="13.2">
      <c r="G378" s="69"/>
      <c r="H378" s="69"/>
    </row>
    <row r="379" spans="7:8" ht="13.2">
      <c r="G379" s="69"/>
      <c r="H379" s="69"/>
    </row>
    <row r="380" spans="7:8" ht="13.2">
      <c r="G380" s="69"/>
      <c r="H380" s="69"/>
    </row>
    <row r="381" spans="7:8" ht="13.2">
      <c r="G381" s="69"/>
      <c r="H381" s="69"/>
    </row>
    <row r="382" spans="7:8" ht="13.2">
      <c r="G382" s="69"/>
      <c r="H382" s="69"/>
    </row>
    <row r="383" spans="7:8" ht="13.2">
      <c r="G383" s="69"/>
      <c r="H383" s="69"/>
    </row>
    <row r="384" spans="7:8" ht="13.2">
      <c r="G384" s="69"/>
      <c r="H384" s="69"/>
    </row>
    <row r="385" spans="7:8" ht="13.2">
      <c r="G385" s="69"/>
      <c r="H385" s="69"/>
    </row>
    <row r="386" spans="7:8" ht="13.2">
      <c r="G386" s="69"/>
      <c r="H386" s="69"/>
    </row>
    <row r="387" spans="7:8" ht="13.2">
      <c r="G387" s="69"/>
      <c r="H387" s="69"/>
    </row>
    <row r="388" spans="7:8" ht="13.2">
      <c r="G388" s="69"/>
      <c r="H388" s="69"/>
    </row>
    <row r="389" spans="7:8" ht="13.2">
      <c r="G389" s="69"/>
      <c r="H389" s="69"/>
    </row>
    <row r="390" spans="7:8" ht="13.2">
      <c r="G390" s="69"/>
      <c r="H390" s="69"/>
    </row>
    <row r="391" spans="7:8" ht="13.2">
      <c r="G391" s="69"/>
      <c r="H391" s="69"/>
    </row>
    <row r="392" spans="7:8" ht="13.2">
      <c r="G392" s="69"/>
      <c r="H392" s="69"/>
    </row>
    <row r="393" spans="7:8" ht="13.2">
      <c r="G393" s="69"/>
      <c r="H393" s="69"/>
    </row>
    <row r="394" spans="7:8" ht="13.2">
      <c r="G394" s="69"/>
      <c r="H394" s="69"/>
    </row>
    <row r="395" spans="7:8" ht="13.2">
      <c r="G395" s="69"/>
      <c r="H395" s="69"/>
    </row>
    <row r="396" spans="7:8" ht="13.2">
      <c r="G396" s="69"/>
      <c r="H396" s="69"/>
    </row>
    <row r="397" spans="7:8" ht="13.2">
      <c r="G397" s="69"/>
      <c r="H397" s="69"/>
    </row>
    <row r="398" spans="7:8" ht="13.2">
      <c r="G398" s="69"/>
      <c r="H398" s="69"/>
    </row>
    <row r="399" spans="7:8" ht="13.2">
      <c r="G399" s="69"/>
      <c r="H399" s="69"/>
    </row>
    <row r="400" spans="7:8" ht="13.2">
      <c r="G400" s="69"/>
      <c r="H400" s="69"/>
    </row>
    <row r="401" spans="7:8" ht="13.2">
      <c r="G401" s="69"/>
      <c r="H401" s="69"/>
    </row>
    <row r="402" spans="7:8" ht="13.2">
      <c r="G402" s="69"/>
      <c r="H402" s="69"/>
    </row>
    <row r="403" spans="7:8" ht="13.2">
      <c r="G403" s="69"/>
      <c r="H403" s="69"/>
    </row>
    <row r="404" spans="7:8" ht="13.2">
      <c r="G404" s="69"/>
      <c r="H404" s="69"/>
    </row>
    <row r="405" spans="7:8" ht="13.2">
      <c r="G405" s="69"/>
      <c r="H405" s="69"/>
    </row>
    <row r="406" spans="7:8" ht="13.2">
      <c r="G406" s="69"/>
      <c r="H406" s="69"/>
    </row>
    <row r="407" spans="7:8" ht="13.2">
      <c r="G407" s="69"/>
      <c r="H407" s="69"/>
    </row>
    <row r="408" spans="7:8" ht="13.2">
      <c r="G408" s="69"/>
      <c r="H408" s="69"/>
    </row>
    <row r="409" spans="7:8" ht="13.2">
      <c r="G409" s="69"/>
      <c r="H409" s="69"/>
    </row>
    <row r="410" spans="7:8" ht="13.2">
      <c r="G410" s="69"/>
      <c r="H410" s="69"/>
    </row>
    <row r="411" spans="7:8" ht="13.2">
      <c r="G411" s="69"/>
      <c r="H411" s="69"/>
    </row>
    <row r="412" spans="7:8" ht="13.2">
      <c r="G412" s="69"/>
      <c r="H412" s="69"/>
    </row>
    <row r="413" spans="7:8" ht="13.2">
      <c r="G413" s="69"/>
      <c r="H413" s="69"/>
    </row>
    <row r="414" spans="7:8" ht="13.2">
      <c r="G414" s="69"/>
      <c r="H414" s="69"/>
    </row>
    <row r="415" spans="7:8" ht="13.2">
      <c r="G415" s="69"/>
      <c r="H415" s="69"/>
    </row>
    <row r="416" spans="7:8" ht="13.2">
      <c r="G416" s="69"/>
      <c r="H416" s="69"/>
    </row>
    <row r="417" spans="7:8" ht="13.2">
      <c r="G417" s="69"/>
      <c r="H417" s="69"/>
    </row>
    <row r="418" spans="7:8" ht="13.2">
      <c r="G418" s="69"/>
      <c r="H418" s="69"/>
    </row>
    <row r="419" spans="7:8" ht="13.2">
      <c r="G419" s="69"/>
      <c r="H419" s="69"/>
    </row>
    <row r="420" spans="7:8" ht="13.2">
      <c r="G420" s="69"/>
      <c r="H420" s="69"/>
    </row>
    <row r="421" spans="7:8" ht="13.2">
      <c r="G421" s="69"/>
      <c r="H421" s="69"/>
    </row>
    <row r="422" spans="7:8" ht="13.2">
      <c r="G422" s="69"/>
      <c r="H422" s="69"/>
    </row>
    <row r="423" spans="7:8" ht="13.2">
      <c r="G423" s="69"/>
      <c r="H423" s="69"/>
    </row>
    <row r="424" spans="7:8" ht="13.2">
      <c r="G424" s="69"/>
      <c r="H424" s="69"/>
    </row>
    <row r="425" spans="7:8" ht="13.2">
      <c r="G425" s="69"/>
      <c r="H425" s="69"/>
    </row>
    <row r="426" spans="7:8" ht="13.2">
      <c r="G426" s="69"/>
      <c r="H426" s="69"/>
    </row>
    <row r="427" spans="7:8" ht="13.2">
      <c r="G427" s="69"/>
      <c r="H427" s="69"/>
    </row>
    <row r="428" spans="7:8" ht="13.2">
      <c r="G428" s="69"/>
      <c r="H428" s="69"/>
    </row>
    <row r="429" spans="7:8" ht="13.2">
      <c r="G429" s="69"/>
      <c r="H429" s="69"/>
    </row>
    <row r="430" spans="7:8" ht="13.2">
      <c r="G430" s="69"/>
      <c r="H430" s="69"/>
    </row>
    <row r="431" spans="7:8" ht="13.2">
      <c r="G431" s="69"/>
      <c r="H431" s="69"/>
    </row>
    <row r="432" spans="7:8" ht="13.2">
      <c r="G432" s="69"/>
      <c r="H432" s="69"/>
    </row>
    <row r="433" spans="7:8" ht="13.2">
      <c r="G433" s="69"/>
      <c r="H433" s="69"/>
    </row>
    <row r="434" spans="7:8" ht="13.2">
      <c r="G434" s="69"/>
      <c r="H434" s="69"/>
    </row>
    <row r="435" spans="7:8" ht="13.2">
      <c r="G435" s="69"/>
      <c r="H435" s="69"/>
    </row>
    <row r="436" spans="7:8" ht="13.2">
      <c r="G436" s="69"/>
      <c r="H436" s="69"/>
    </row>
    <row r="437" spans="7:8" ht="13.2">
      <c r="G437" s="69"/>
      <c r="H437" s="69"/>
    </row>
    <row r="438" spans="7:8" ht="13.2">
      <c r="G438" s="69"/>
      <c r="H438" s="69"/>
    </row>
    <row r="439" spans="7:8" ht="13.2">
      <c r="G439" s="69"/>
      <c r="H439" s="69"/>
    </row>
    <row r="440" spans="7:8" ht="13.2">
      <c r="G440" s="69"/>
      <c r="H440" s="69"/>
    </row>
    <row r="441" spans="7:8" ht="13.2">
      <c r="G441" s="69"/>
      <c r="H441" s="69"/>
    </row>
    <row r="442" spans="7:8" ht="13.2">
      <c r="G442" s="69"/>
      <c r="H442" s="69"/>
    </row>
    <row r="443" spans="7:8" ht="13.2">
      <c r="G443" s="69"/>
      <c r="H443" s="69"/>
    </row>
    <row r="444" spans="7:8" ht="13.2">
      <c r="G444" s="69"/>
      <c r="H444" s="69"/>
    </row>
    <row r="445" spans="7:8" ht="13.2">
      <c r="G445" s="69"/>
      <c r="H445" s="69"/>
    </row>
    <row r="446" spans="7:8" ht="13.2">
      <c r="G446" s="69"/>
      <c r="H446" s="69"/>
    </row>
    <row r="447" spans="7:8" ht="13.2">
      <c r="G447" s="69"/>
      <c r="H447" s="69"/>
    </row>
    <row r="448" spans="7:8" ht="13.2">
      <c r="G448" s="69"/>
      <c r="H448" s="69"/>
    </row>
    <row r="449" spans="7:8" ht="13.2">
      <c r="G449" s="69"/>
      <c r="H449" s="69"/>
    </row>
    <row r="450" spans="7:8" ht="13.2">
      <c r="G450" s="69"/>
      <c r="H450" s="69"/>
    </row>
    <row r="451" spans="7:8" ht="13.2">
      <c r="G451" s="69"/>
      <c r="H451" s="69"/>
    </row>
    <row r="452" spans="7:8" ht="13.2">
      <c r="G452" s="69"/>
      <c r="H452" s="69"/>
    </row>
    <row r="453" spans="7:8" ht="13.2">
      <c r="G453" s="69"/>
      <c r="H453" s="69"/>
    </row>
    <row r="454" spans="7:8" ht="13.2">
      <c r="G454" s="69"/>
      <c r="H454" s="69"/>
    </row>
    <row r="455" spans="7:8" ht="13.2">
      <c r="G455" s="69"/>
      <c r="H455" s="69"/>
    </row>
    <row r="456" spans="7:8" ht="13.2">
      <c r="G456" s="69"/>
      <c r="H456" s="69"/>
    </row>
    <row r="457" spans="7:8" ht="13.2">
      <c r="G457" s="69"/>
      <c r="H457" s="69"/>
    </row>
    <row r="458" spans="7:8" ht="13.2">
      <c r="G458" s="69"/>
      <c r="H458" s="69"/>
    </row>
    <row r="459" spans="7:8" ht="13.2">
      <c r="G459" s="69"/>
      <c r="H459" s="69"/>
    </row>
    <row r="460" spans="7:8" ht="13.2">
      <c r="G460" s="69"/>
      <c r="H460" s="69"/>
    </row>
    <row r="461" spans="7:8" ht="13.2">
      <c r="G461" s="69"/>
      <c r="H461" s="69"/>
    </row>
    <row r="462" spans="7:8" ht="13.2">
      <c r="G462" s="69"/>
      <c r="H462" s="69"/>
    </row>
    <row r="463" spans="7:8" ht="13.2">
      <c r="G463" s="69"/>
      <c r="H463" s="69"/>
    </row>
    <row r="464" spans="7:8" ht="13.2">
      <c r="G464" s="69"/>
      <c r="H464" s="69"/>
    </row>
    <row r="465" spans="7:8" ht="13.2">
      <c r="G465" s="69"/>
      <c r="H465" s="69"/>
    </row>
    <row r="466" spans="7:8" ht="13.2">
      <c r="G466" s="69"/>
      <c r="H466" s="69"/>
    </row>
    <row r="467" spans="7:8" ht="13.2">
      <c r="G467" s="69"/>
      <c r="H467" s="69"/>
    </row>
    <row r="468" spans="7:8" ht="13.2">
      <c r="G468" s="69"/>
      <c r="H468" s="69"/>
    </row>
    <row r="469" spans="7:8" ht="13.2">
      <c r="G469" s="69"/>
      <c r="H469" s="69"/>
    </row>
    <row r="470" spans="7:8" ht="13.2">
      <c r="G470" s="69"/>
      <c r="H470" s="69"/>
    </row>
    <row r="471" spans="7:8" ht="13.2">
      <c r="G471" s="69"/>
      <c r="H471" s="69"/>
    </row>
    <row r="472" spans="7:8" ht="13.2">
      <c r="G472" s="69"/>
      <c r="H472" s="69"/>
    </row>
    <row r="473" spans="7:8" ht="13.2">
      <c r="G473" s="69"/>
      <c r="H473" s="69"/>
    </row>
    <row r="474" spans="7:8" ht="13.2">
      <c r="G474" s="69"/>
      <c r="H474" s="69"/>
    </row>
    <row r="475" spans="7:8" ht="13.2">
      <c r="G475" s="69"/>
      <c r="H475" s="69"/>
    </row>
    <row r="476" spans="7:8" ht="13.2">
      <c r="G476" s="69"/>
      <c r="H476" s="69"/>
    </row>
    <row r="477" spans="7:8" ht="13.2">
      <c r="G477" s="69"/>
      <c r="H477" s="69"/>
    </row>
    <row r="478" spans="7:8" ht="13.2">
      <c r="G478" s="69"/>
      <c r="H478" s="69"/>
    </row>
    <row r="479" spans="7:8" ht="13.2">
      <c r="G479" s="69"/>
      <c r="H479" s="69"/>
    </row>
    <row r="480" spans="7:8" ht="13.2">
      <c r="G480" s="69"/>
      <c r="H480" s="69"/>
    </row>
    <row r="481" spans="7:8" ht="13.2">
      <c r="G481" s="69"/>
      <c r="H481" s="69"/>
    </row>
    <row r="482" spans="7:8" ht="13.2">
      <c r="G482" s="69"/>
      <c r="H482" s="69"/>
    </row>
    <row r="483" spans="7:8" ht="13.2">
      <c r="G483" s="69"/>
      <c r="H483" s="69"/>
    </row>
    <row r="484" spans="7:8" ht="13.2">
      <c r="G484" s="69"/>
      <c r="H484" s="69"/>
    </row>
    <row r="485" spans="7:8" ht="13.2">
      <c r="G485" s="69"/>
      <c r="H485" s="69"/>
    </row>
    <row r="486" spans="7:8" ht="13.2">
      <c r="G486" s="69"/>
      <c r="H486" s="69"/>
    </row>
    <row r="487" spans="7:8" ht="13.2">
      <c r="G487" s="69"/>
      <c r="H487" s="69"/>
    </row>
    <row r="488" spans="7:8" ht="13.2">
      <c r="G488" s="69"/>
      <c r="H488" s="69"/>
    </row>
    <row r="489" spans="7:8" ht="13.2">
      <c r="G489" s="69"/>
      <c r="H489" s="69"/>
    </row>
    <row r="490" spans="7:8" ht="13.2">
      <c r="G490" s="69"/>
      <c r="H490" s="69"/>
    </row>
    <row r="491" spans="7:8" ht="13.2">
      <c r="G491" s="69"/>
      <c r="H491" s="69"/>
    </row>
    <row r="492" spans="7:8" ht="13.2">
      <c r="G492" s="69"/>
      <c r="H492" s="69"/>
    </row>
    <row r="493" spans="7:8" ht="13.2">
      <c r="G493" s="69"/>
      <c r="H493" s="69"/>
    </row>
    <row r="494" spans="7:8" ht="13.2">
      <c r="G494" s="69"/>
      <c r="H494" s="69"/>
    </row>
    <row r="495" spans="7:8" ht="13.2">
      <c r="G495" s="69"/>
      <c r="H495" s="69"/>
    </row>
    <row r="496" spans="7:8" ht="13.2">
      <c r="G496" s="69"/>
      <c r="H496" s="69"/>
    </row>
    <row r="497" spans="7:8" ht="13.2">
      <c r="G497" s="69"/>
      <c r="H497" s="69"/>
    </row>
    <row r="498" spans="7:8" ht="13.2">
      <c r="G498" s="69"/>
      <c r="H498" s="69"/>
    </row>
    <row r="499" spans="7:8" ht="13.2">
      <c r="G499" s="69"/>
      <c r="H499" s="69"/>
    </row>
    <row r="500" spans="7:8" ht="13.2">
      <c r="G500" s="69"/>
      <c r="H500" s="69"/>
    </row>
    <row r="501" spans="7:8" ht="13.2">
      <c r="G501" s="69"/>
      <c r="H501" s="69"/>
    </row>
    <row r="502" spans="7:8" ht="13.2">
      <c r="G502" s="69"/>
      <c r="H502" s="69"/>
    </row>
    <row r="503" spans="7:8" ht="13.2">
      <c r="G503" s="69"/>
      <c r="H503" s="69"/>
    </row>
    <row r="504" spans="7:8" ht="13.2">
      <c r="G504" s="69"/>
      <c r="H504" s="69"/>
    </row>
    <row r="505" spans="7:8" ht="13.2">
      <c r="G505" s="69"/>
      <c r="H505" s="69"/>
    </row>
    <row r="506" spans="7:8" ht="13.2">
      <c r="G506" s="69"/>
      <c r="H506" s="69"/>
    </row>
    <row r="507" spans="7:8" ht="13.2">
      <c r="G507" s="69"/>
      <c r="H507" s="69"/>
    </row>
    <row r="508" spans="7:8" ht="13.2">
      <c r="G508" s="69"/>
      <c r="H508" s="69"/>
    </row>
    <row r="509" spans="7:8" ht="13.2">
      <c r="G509" s="69"/>
      <c r="H509" s="69"/>
    </row>
    <row r="510" spans="7:8" ht="13.2">
      <c r="G510" s="69"/>
      <c r="H510" s="69"/>
    </row>
    <row r="511" spans="7:8" ht="13.2">
      <c r="G511" s="69"/>
      <c r="H511" s="69"/>
    </row>
    <row r="512" spans="7:8" ht="13.2">
      <c r="G512" s="69"/>
      <c r="H512" s="69"/>
    </row>
    <row r="513" spans="7:8" ht="13.2">
      <c r="G513" s="69"/>
      <c r="H513" s="69"/>
    </row>
    <row r="514" spans="7:8" ht="13.2">
      <c r="G514" s="69"/>
      <c r="H514" s="69"/>
    </row>
    <row r="515" spans="7:8" ht="13.2">
      <c r="G515" s="69"/>
      <c r="H515" s="69"/>
    </row>
    <row r="516" spans="7:8" ht="13.2">
      <c r="G516" s="69"/>
      <c r="H516" s="69"/>
    </row>
    <row r="517" spans="7:8" ht="13.2">
      <c r="G517" s="69"/>
      <c r="H517" s="69"/>
    </row>
    <row r="518" spans="7:8" ht="13.2">
      <c r="G518" s="69"/>
      <c r="H518" s="69"/>
    </row>
    <row r="519" spans="7:8" ht="13.2">
      <c r="G519" s="69"/>
      <c r="H519" s="69"/>
    </row>
    <row r="520" spans="7:8" ht="13.2">
      <c r="G520" s="69"/>
      <c r="H520" s="69"/>
    </row>
    <row r="521" spans="7:8" ht="13.2">
      <c r="G521" s="69"/>
      <c r="H521" s="69"/>
    </row>
    <row r="522" spans="7:8" ht="13.2">
      <c r="G522" s="69"/>
      <c r="H522" s="69"/>
    </row>
    <row r="523" spans="7:8" ht="13.2">
      <c r="G523" s="69"/>
      <c r="H523" s="69"/>
    </row>
    <row r="524" spans="7:8" ht="13.2">
      <c r="G524" s="69"/>
      <c r="H524" s="69"/>
    </row>
    <row r="525" spans="7:8" ht="13.2">
      <c r="G525" s="69"/>
      <c r="H525" s="69"/>
    </row>
    <row r="526" spans="7:8" ht="13.2">
      <c r="G526" s="69"/>
      <c r="H526" s="69"/>
    </row>
    <row r="527" spans="7:8" ht="13.2">
      <c r="G527" s="69"/>
      <c r="H527" s="69"/>
    </row>
    <row r="528" spans="7:8" ht="13.2">
      <c r="G528" s="69"/>
      <c r="H528" s="69"/>
    </row>
    <row r="529" spans="7:8" ht="13.2">
      <c r="G529" s="69"/>
      <c r="H529" s="69"/>
    </row>
    <row r="530" spans="7:8" ht="13.2">
      <c r="G530" s="69"/>
      <c r="H530" s="69"/>
    </row>
    <row r="531" spans="7:8" ht="13.2">
      <c r="G531" s="69"/>
      <c r="H531" s="69"/>
    </row>
    <row r="532" spans="7:8" ht="13.2">
      <c r="G532" s="69"/>
      <c r="H532" s="69"/>
    </row>
    <row r="533" spans="7:8" ht="13.2">
      <c r="G533" s="69"/>
      <c r="H533" s="69"/>
    </row>
    <row r="534" spans="7:8" ht="13.2">
      <c r="G534" s="69"/>
      <c r="H534" s="69"/>
    </row>
    <row r="535" spans="7:8" ht="13.2">
      <c r="G535" s="69"/>
      <c r="H535" s="69"/>
    </row>
    <row r="536" spans="7:8" ht="13.2">
      <c r="G536" s="69"/>
      <c r="H536" s="69"/>
    </row>
    <row r="537" spans="7:8" ht="13.2">
      <c r="G537" s="69"/>
      <c r="H537" s="69"/>
    </row>
    <row r="538" spans="7:8" ht="13.2">
      <c r="G538" s="69"/>
      <c r="H538" s="69"/>
    </row>
    <row r="539" spans="7:8" ht="13.2">
      <c r="G539" s="69"/>
      <c r="H539" s="69"/>
    </row>
    <row r="540" spans="7:8" ht="13.2">
      <c r="G540" s="69"/>
      <c r="H540" s="69"/>
    </row>
    <row r="541" spans="7:8" ht="13.2">
      <c r="G541" s="69"/>
      <c r="H541" s="69"/>
    </row>
    <row r="542" spans="7:8" ht="13.2">
      <c r="G542" s="69"/>
      <c r="H542" s="69"/>
    </row>
    <row r="543" spans="7:8" ht="13.2">
      <c r="G543" s="69"/>
      <c r="H543" s="69"/>
    </row>
    <row r="544" spans="7:8" ht="13.2">
      <c r="G544" s="69"/>
      <c r="H544" s="69"/>
    </row>
    <row r="545" spans="7:8" ht="13.2">
      <c r="G545" s="69"/>
      <c r="H545" s="69"/>
    </row>
    <row r="546" spans="7:8" ht="13.2">
      <c r="G546" s="69"/>
      <c r="H546" s="69"/>
    </row>
    <row r="547" spans="7:8" ht="13.2">
      <c r="G547" s="69"/>
      <c r="H547" s="69"/>
    </row>
    <row r="548" spans="7:8" ht="13.2">
      <c r="G548" s="69"/>
      <c r="H548" s="69"/>
    </row>
    <row r="549" spans="7:8" ht="13.2">
      <c r="G549" s="69"/>
      <c r="H549" s="69"/>
    </row>
    <row r="550" spans="7:8" ht="13.2">
      <c r="G550" s="69"/>
      <c r="H550" s="69"/>
    </row>
    <row r="551" spans="7:8" ht="13.2">
      <c r="G551" s="69"/>
      <c r="H551" s="69"/>
    </row>
    <row r="552" spans="7:8" ht="13.2">
      <c r="G552" s="69"/>
      <c r="H552" s="69"/>
    </row>
    <row r="553" spans="7:8" ht="13.2">
      <c r="G553" s="69"/>
      <c r="H553" s="69"/>
    </row>
    <row r="554" spans="7:8" ht="13.2">
      <c r="G554" s="69"/>
      <c r="H554" s="69"/>
    </row>
    <row r="555" spans="7:8" ht="13.2">
      <c r="G555" s="69"/>
      <c r="H555" s="69"/>
    </row>
    <row r="556" spans="7:8" ht="13.2">
      <c r="G556" s="69"/>
      <c r="H556" s="69"/>
    </row>
    <row r="557" spans="7:8" ht="13.2">
      <c r="G557" s="69"/>
      <c r="H557" s="69"/>
    </row>
    <row r="558" spans="7:8" ht="13.2">
      <c r="G558" s="69"/>
      <c r="H558" s="69"/>
    </row>
    <row r="559" spans="7:8" ht="13.2">
      <c r="G559" s="69"/>
      <c r="H559" s="69"/>
    </row>
    <row r="560" spans="7:8" ht="13.2">
      <c r="G560" s="69"/>
      <c r="H560" s="69"/>
    </row>
    <row r="561" spans="7:8" ht="13.2">
      <c r="G561" s="69"/>
      <c r="H561" s="69"/>
    </row>
    <row r="562" spans="7:8" ht="13.2">
      <c r="G562" s="69"/>
      <c r="H562" s="69"/>
    </row>
    <row r="563" spans="7:8" ht="13.2">
      <c r="G563" s="69"/>
      <c r="H563" s="69"/>
    </row>
    <row r="564" spans="7:8" ht="13.2">
      <c r="G564" s="69"/>
      <c r="H564" s="69"/>
    </row>
    <row r="565" spans="7:8" ht="13.2">
      <c r="G565" s="69"/>
      <c r="H565" s="69"/>
    </row>
    <row r="566" spans="7:8" ht="13.2">
      <c r="G566" s="69"/>
      <c r="H566" s="69"/>
    </row>
    <row r="567" spans="7:8" ht="13.2">
      <c r="G567" s="69"/>
      <c r="H567" s="69"/>
    </row>
    <row r="568" spans="7:8" ht="13.2">
      <c r="G568" s="69"/>
      <c r="H568" s="69"/>
    </row>
    <row r="569" spans="7:8" ht="13.2">
      <c r="G569" s="69"/>
      <c r="H569" s="69"/>
    </row>
    <row r="570" spans="7:8" ht="13.2">
      <c r="G570" s="69"/>
      <c r="H570" s="69"/>
    </row>
    <row r="571" spans="7:8" ht="13.2">
      <c r="G571" s="69"/>
      <c r="H571" s="69"/>
    </row>
    <row r="572" spans="7:8" ht="13.2">
      <c r="G572" s="69"/>
      <c r="H572" s="69"/>
    </row>
    <row r="573" spans="7:8" ht="13.2">
      <c r="G573" s="69"/>
      <c r="H573" s="69"/>
    </row>
    <row r="574" spans="7:8" ht="13.2">
      <c r="G574" s="69"/>
      <c r="H574" s="69"/>
    </row>
    <row r="575" spans="7:8" ht="13.2">
      <c r="G575" s="69"/>
      <c r="H575" s="69"/>
    </row>
    <row r="576" spans="7:8" ht="13.2">
      <c r="G576" s="69"/>
      <c r="H576" s="69"/>
    </row>
    <row r="577" spans="7:8" ht="13.2">
      <c r="G577" s="69"/>
      <c r="H577" s="69"/>
    </row>
    <row r="578" spans="7:8" ht="13.2">
      <c r="G578" s="69"/>
      <c r="H578" s="69"/>
    </row>
    <row r="579" spans="7:8" ht="13.2">
      <c r="G579" s="69"/>
      <c r="H579" s="69"/>
    </row>
    <row r="580" spans="7:8" ht="13.2">
      <c r="G580" s="69"/>
      <c r="H580" s="69"/>
    </row>
    <row r="581" spans="7:8" ht="13.2">
      <c r="G581" s="69"/>
      <c r="H581" s="69"/>
    </row>
    <row r="582" spans="7:8" ht="13.2">
      <c r="G582" s="69"/>
      <c r="H582" s="69"/>
    </row>
    <row r="583" spans="7:8" ht="13.2">
      <c r="G583" s="69"/>
      <c r="H583" s="69"/>
    </row>
    <row r="584" spans="7:8" ht="13.2">
      <c r="G584" s="69"/>
      <c r="H584" s="69"/>
    </row>
    <row r="585" spans="7:8" ht="13.2">
      <c r="G585" s="69"/>
      <c r="H585" s="69"/>
    </row>
    <row r="586" spans="7:8" ht="13.2">
      <c r="G586" s="69"/>
      <c r="H586" s="69"/>
    </row>
    <row r="587" spans="7:8" ht="13.2">
      <c r="G587" s="69"/>
      <c r="H587" s="69"/>
    </row>
    <row r="588" spans="7:8" ht="13.2">
      <c r="G588" s="69"/>
      <c r="H588" s="69"/>
    </row>
    <row r="589" spans="7:8" ht="13.2">
      <c r="G589" s="69"/>
      <c r="H589" s="69"/>
    </row>
    <row r="590" spans="7:8" ht="13.2">
      <c r="G590" s="69"/>
      <c r="H590" s="69"/>
    </row>
    <row r="591" spans="7:8" ht="13.2">
      <c r="G591" s="69"/>
      <c r="H591" s="69"/>
    </row>
    <row r="592" spans="7:8" ht="13.2">
      <c r="G592" s="69"/>
      <c r="H592" s="69"/>
    </row>
    <row r="593" spans="7:8" ht="13.2">
      <c r="G593" s="69"/>
      <c r="H593" s="69"/>
    </row>
    <row r="594" spans="7:8" ht="13.2">
      <c r="G594" s="69"/>
      <c r="H594" s="69"/>
    </row>
    <row r="595" spans="7:8" ht="13.2">
      <c r="G595" s="69"/>
      <c r="H595" s="69"/>
    </row>
    <row r="596" spans="7:8" ht="13.2">
      <c r="G596" s="69"/>
      <c r="H596" s="69"/>
    </row>
    <row r="597" spans="7:8" ht="13.2">
      <c r="G597" s="69"/>
      <c r="H597" s="69"/>
    </row>
    <row r="598" spans="7:8" ht="13.2">
      <c r="G598" s="69"/>
      <c r="H598" s="69"/>
    </row>
    <row r="599" spans="7:8" ht="13.2">
      <c r="G599" s="69"/>
      <c r="H599" s="69"/>
    </row>
    <row r="600" spans="7:8" ht="13.2">
      <c r="G600" s="69"/>
      <c r="H600" s="69"/>
    </row>
    <row r="601" spans="7:8" ht="13.2">
      <c r="G601" s="69"/>
      <c r="H601" s="69"/>
    </row>
    <row r="602" spans="7:8" ht="13.2">
      <c r="G602" s="69"/>
      <c r="H602" s="69"/>
    </row>
    <row r="603" spans="7:8" ht="13.2">
      <c r="G603" s="69"/>
      <c r="H603" s="69"/>
    </row>
    <row r="604" spans="7:8" ht="13.2">
      <c r="G604" s="69"/>
      <c r="H604" s="69"/>
    </row>
    <row r="605" spans="7:8" ht="13.2">
      <c r="G605" s="69"/>
      <c r="H605" s="69"/>
    </row>
    <row r="606" spans="7:8" ht="13.2">
      <c r="G606" s="69"/>
      <c r="H606" s="69"/>
    </row>
    <row r="607" spans="7:8" ht="13.2">
      <c r="G607" s="69"/>
      <c r="H607" s="69"/>
    </row>
    <row r="608" spans="7:8" ht="13.2">
      <c r="G608" s="69"/>
      <c r="H608" s="69"/>
    </row>
    <row r="609" spans="7:8" ht="13.2">
      <c r="G609" s="69"/>
      <c r="H609" s="69"/>
    </row>
    <row r="610" spans="7:8" ht="13.2">
      <c r="G610" s="69"/>
      <c r="H610" s="69"/>
    </row>
    <row r="611" spans="7:8" ht="13.2">
      <c r="G611" s="69"/>
      <c r="H611" s="69"/>
    </row>
    <row r="612" spans="7:8" ht="13.2">
      <c r="G612" s="69"/>
      <c r="H612" s="69"/>
    </row>
    <row r="613" spans="7:8" ht="13.2">
      <c r="G613" s="69"/>
      <c r="H613" s="69"/>
    </row>
    <row r="614" spans="7:8" ht="13.2">
      <c r="G614" s="69"/>
      <c r="H614" s="69"/>
    </row>
    <row r="615" spans="7:8" ht="13.2">
      <c r="G615" s="69"/>
      <c r="H615" s="69"/>
    </row>
    <row r="616" spans="7:8" ht="13.2">
      <c r="G616" s="69"/>
      <c r="H616" s="69"/>
    </row>
    <row r="617" spans="7:8" ht="13.2">
      <c r="G617" s="69"/>
      <c r="H617" s="69"/>
    </row>
    <row r="618" spans="7:8" ht="13.2">
      <c r="G618" s="69"/>
      <c r="H618" s="69"/>
    </row>
    <row r="619" spans="7:8" ht="13.2">
      <c r="G619" s="69"/>
      <c r="H619" s="69"/>
    </row>
    <row r="620" spans="7:8" ht="13.2">
      <c r="G620" s="69"/>
      <c r="H620" s="69"/>
    </row>
    <row r="621" spans="7:8" ht="13.2">
      <c r="G621" s="69"/>
      <c r="H621" s="69"/>
    </row>
    <row r="622" spans="7:8" ht="13.2">
      <c r="G622" s="69"/>
      <c r="H622" s="69"/>
    </row>
    <row r="623" spans="7:8" ht="13.2">
      <c r="G623" s="69"/>
      <c r="H623" s="69"/>
    </row>
    <row r="624" spans="7:8" ht="13.2">
      <c r="G624" s="69"/>
      <c r="H624" s="69"/>
    </row>
    <row r="625" spans="7:8" ht="13.2">
      <c r="G625" s="69"/>
      <c r="H625" s="69"/>
    </row>
    <row r="626" spans="7:8" ht="13.2">
      <c r="G626" s="69"/>
      <c r="H626" s="69"/>
    </row>
    <row r="627" spans="7:8" ht="13.2">
      <c r="G627" s="69"/>
      <c r="H627" s="69"/>
    </row>
    <row r="628" spans="7:8" ht="13.2">
      <c r="G628" s="69"/>
      <c r="H628" s="69"/>
    </row>
    <row r="629" spans="7:8" ht="13.2">
      <c r="G629" s="69"/>
      <c r="H629" s="69"/>
    </row>
    <row r="630" spans="7:8" ht="13.2">
      <c r="G630" s="69"/>
      <c r="H630" s="69"/>
    </row>
    <row r="631" spans="7:8" ht="13.2">
      <c r="G631" s="69"/>
      <c r="H631" s="69"/>
    </row>
    <row r="632" spans="7:8" ht="13.2">
      <c r="G632" s="69"/>
      <c r="H632" s="69"/>
    </row>
    <row r="633" spans="7:8" ht="13.2">
      <c r="G633" s="69"/>
      <c r="H633" s="69"/>
    </row>
    <row r="634" spans="7:8" ht="13.2">
      <c r="G634" s="69"/>
      <c r="H634" s="69"/>
    </row>
    <row r="635" spans="7:8" ht="13.2">
      <c r="G635" s="69"/>
      <c r="H635" s="69"/>
    </row>
    <row r="636" spans="7:8" ht="13.2">
      <c r="G636" s="69"/>
      <c r="H636" s="69"/>
    </row>
    <row r="637" spans="7:8" ht="13.2">
      <c r="G637" s="69"/>
      <c r="H637" s="69"/>
    </row>
    <row r="638" spans="7:8" ht="13.2">
      <c r="G638" s="69"/>
      <c r="H638" s="69"/>
    </row>
    <row r="639" spans="7:8" ht="13.2">
      <c r="G639" s="69"/>
      <c r="H639" s="69"/>
    </row>
    <row r="640" spans="7:8" ht="13.2">
      <c r="G640" s="69"/>
      <c r="H640" s="69"/>
    </row>
    <row r="641" spans="7:8" ht="13.2">
      <c r="G641" s="69"/>
      <c r="H641" s="69"/>
    </row>
    <row r="642" spans="7:8" ht="13.2">
      <c r="G642" s="69"/>
      <c r="H642" s="69"/>
    </row>
    <row r="643" spans="7:8" ht="13.2">
      <c r="G643" s="69"/>
      <c r="H643" s="69"/>
    </row>
    <row r="644" spans="7:8" ht="13.2">
      <c r="G644" s="69"/>
      <c r="H644" s="69"/>
    </row>
    <row r="645" spans="7:8" ht="13.2">
      <c r="G645" s="69"/>
      <c r="H645" s="69"/>
    </row>
    <row r="646" spans="7:8" ht="13.2">
      <c r="G646" s="69"/>
      <c r="H646" s="69"/>
    </row>
    <row r="647" spans="7:8" ht="13.2">
      <c r="G647" s="69"/>
      <c r="H647" s="69"/>
    </row>
    <row r="648" spans="7:8" ht="13.2">
      <c r="G648" s="69"/>
      <c r="H648" s="69"/>
    </row>
    <row r="649" spans="7:8" ht="13.2">
      <c r="G649" s="69"/>
      <c r="H649" s="69"/>
    </row>
    <row r="650" spans="7:8" ht="13.2">
      <c r="G650" s="69"/>
      <c r="H650" s="69"/>
    </row>
    <row r="651" spans="7:8" ht="13.2">
      <c r="G651" s="69"/>
      <c r="H651" s="69"/>
    </row>
    <row r="652" spans="7:8" ht="13.2">
      <c r="G652" s="69"/>
      <c r="H652" s="69"/>
    </row>
    <row r="653" spans="7:8" ht="13.2">
      <c r="G653" s="69"/>
      <c r="H653" s="69"/>
    </row>
    <row r="654" spans="7:8" ht="13.2">
      <c r="G654" s="69"/>
      <c r="H654" s="69"/>
    </row>
    <row r="655" spans="7:8" ht="13.2">
      <c r="G655" s="69"/>
      <c r="H655" s="69"/>
    </row>
    <row r="656" spans="7:8" ht="13.2">
      <c r="G656" s="69"/>
      <c r="H656" s="69"/>
    </row>
    <row r="657" spans="7:8" ht="13.2">
      <c r="G657" s="69"/>
      <c r="H657" s="69"/>
    </row>
    <row r="658" spans="7:8" ht="13.2">
      <c r="G658" s="69"/>
      <c r="H658" s="69"/>
    </row>
    <row r="659" spans="7:8" ht="13.2">
      <c r="G659" s="69"/>
      <c r="H659" s="69"/>
    </row>
    <row r="660" spans="7:8" ht="13.2">
      <c r="G660" s="69"/>
      <c r="H660" s="69"/>
    </row>
    <row r="661" spans="7:8" ht="13.2">
      <c r="G661" s="69"/>
      <c r="H661" s="69"/>
    </row>
    <row r="662" spans="7:8" ht="13.2">
      <c r="G662" s="69"/>
      <c r="H662" s="69"/>
    </row>
    <row r="663" spans="7:8" ht="13.2">
      <c r="G663" s="69"/>
      <c r="H663" s="69"/>
    </row>
    <row r="664" spans="7:8" ht="13.2">
      <c r="G664" s="69"/>
      <c r="H664" s="69"/>
    </row>
    <row r="665" spans="7:8" ht="13.2">
      <c r="G665" s="69"/>
      <c r="H665" s="69"/>
    </row>
    <row r="666" spans="7:8" ht="13.2">
      <c r="G666" s="69"/>
      <c r="H666" s="69"/>
    </row>
    <row r="667" spans="7:8" ht="13.2">
      <c r="G667" s="69"/>
      <c r="H667" s="69"/>
    </row>
    <row r="668" spans="7:8" ht="13.2">
      <c r="G668" s="69"/>
      <c r="H668" s="69"/>
    </row>
    <row r="669" spans="7:8" ht="13.2">
      <c r="G669" s="69"/>
      <c r="H669" s="69"/>
    </row>
    <row r="670" spans="7:8" ht="13.2">
      <c r="G670" s="69"/>
      <c r="H670" s="69"/>
    </row>
    <row r="671" spans="7:8" ht="13.2">
      <c r="G671" s="69"/>
      <c r="H671" s="69"/>
    </row>
    <row r="672" spans="7:8" ht="13.2">
      <c r="G672" s="69"/>
      <c r="H672" s="69"/>
    </row>
    <row r="673" spans="7:8" ht="13.2">
      <c r="G673" s="69"/>
      <c r="H673" s="69"/>
    </row>
    <row r="674" spans="7:8" ht="13.2">
      <c r="G674" s="69"/>
      <c r="H674" s="69"/>
    </row>
    <row r="675" spans="7:8" ht="13.2">
      <c r="G675" s="69"/>
      <c r="H675" s="69"/>
    </row>
    <row r="676" spans="7:8" ht="13.2">
      <c r="G676" s="69"/>
      <c r="H676" s="69"/>
    </row>
    <row r="677" spans="7:8" ht="13.2">
      <c r="G677" s="69"/>
      <c r="H677" s="69"/>
    </row>
    <row r="678" spans="7:8" ht="13.2">
      <c r="G678" s="69"/>
      <c r="H678" s="69"/>
    </row>
    <row r="679" spans="7:8" ht="13.2">
      <c r="G679" s="69"/>
      <c r="H679" s="69"/>
    </row>
    <row r="680" spans="7:8" ht="13.2">
      <c r="G680" s="69"/>
      <c r="H680" s="69"/>
    </row>
    <row r="681" spans="7:8" ht="13.2">
      <c r="G681" s="69"/>
      <c r="H681" s="69"/>
    </row>
    <row r="682" spans="7:8" ht="13.2">
      <c r="G682" s="69"/>
      <c r="H682" s="69"/>
    </row>
    <row r="683" spans="7:8" ht="13.2">
      <c r="G683" s="69"/>
      <c r="H683" s="69"/>
    </row>
    <row r="684" spans="7:8" ht="13.2">
      <c r="G684" s="69"/>
      <c r="H684" s="69"/>
    </row>
    <row r="685" spans="7:8" ht="13.2">
      <c r="G685" s="69"/>
      <c r="H685" s="69"/>
    </row>
    <row r="686" spans="7:8" ht="13.2">
      <c r="G686" s="69"/>
      <c r="H686" s="69"/>
    </row>
    <row r="687" spans="7:8" ht="13.2">
      <c r="G687" s="69"/>
      <c r="H687" s="69"/>
    </row>
    <row r="688" spans="7:8" ht="13.2">
      <c r="G688" s="69"/>
      <c r="H688" s="69"/>
    </row>
    <row r="689" spans="7:8" ht="13.2">
      <c r="G689" s="69"/>
      <c r="H689" s="69"/>
    </row>
    <row r="690" spans="7:8" ht="13.2">
      <c r="G690" s="69"/>
      <c r="H690" s="69"/>
    </row>
    <row r="691" spans="7:8" ht="13.2">
      <c r="G691" s="69"/>
      <c r="H691" s="69"/>
    </row>
    <row r="692" spans="7:8" ht="13.2">
      <c r="G692" s="69"/>
      <c r="H692" s="69"/>
    </row>
    <row r="693" spans="7:8" ht="13.2">
      <c r="G693" s="69"/>
      <c r="H693" s="69"/>
    </row>
    <row r="694" spans="7:8" ht="13.2">
      <c r="G694" s="69"/>
      <c r="H694" s="69"/>
    </row>
    <row r="695" spans="7:8" ht="13.2">
      <c r="G695" s="69"/>
      <c r="H695" s="69"/>
    </row>
    <row r="696" spans="7:8" ht="13.2">
      <c r="G696" s="69"/>
      <c r="H696" s="69"/>
    </row>
    <row r="697" spans="7:8" ht="13.2">
      <c r="G697" s="69"/>
      <c r="H697" s="69"/>
    </row>
    <row r="698" spans="7:8" ht="13.2">
      <c r="G698" s="69"/>
      <c r="H698" s="69"/>
    </row>
    <row r="699" spans="7:8" ht="13.2">
      <c r="G699" s="69"/>
      <c r="H699" s="69"/>
    </row>
    <row r="700" spans="7:8" ht="13.2">
      <c r="G700" s="69"/>
      <c r="H700" s="69"/>
    </row>
    <row r="701" spans="7:8" ht="13.2">
      <c r="G701" s="69"/>
      <c r="H701" s="69"/>
    </row>
    <row r="702" spans="7:8" ht="13.2">
      <c r="G702" s="69"/>
      <c r="H702" s="69"/>
    </row>
    <row r="703" spans="7:8" ht="13.2">
      <c r="G703" s="69"/>
      <c r="H703" s="69"/>
    </row>
    <row r="704" spans="7:8" ht="13.2">
      <c r="G704" s="69"/>
      <c r="H704" s="69"/>
    </row>
    <row r="705" spans="7:8" ht="13.2">
      <c r="G705" s="69"/>
      <c r="H705" s="69"/>
    </row>
    <row r="706" spans="7:8" ht="13.2">
      <c r="G706" s="69"/>
      <c r="H706" s="69"/>
    </row>
    <row r="707" spans="7:8" ht="13.2">
      <c r="G707" s="69"/>
      <c r="H707" s="69"/>
    </row>
    <row r="708" spans="7:8" ht="13.2">
      <c r="G708" s="69"/>
      <c r="H708" s="69"/>
    </row>
    <row r="709" spans="7:8" ht="13.2">
      <c r="G709" s="69"/>
      <c r="H709" s="69"/>
    </row>
    <row r="710" spans="7:8" ht="13.2">
      <c r="G710" s="69"/>
      <c r="H710" s="69"/>
    </row>
    <row r="711" spans="7:8" ht="13.2">
      <c r="G711" s="69"/>
      <c r="H711" s="69"/>
    </row>
    <row r="712" spans="7:8" ht="13.2">
      <c r="G712" s="69"/>
      <c r="H712" s="69"/>
    </row>
    <row r="713" spans="7:8" ht="13.2">
      <c r="G713" s="69"/>
      <c r="H713" s="69"/>
    </row>
    <row r="714" spans="7:8" ht="13.2">
      <c r="G714" s="69"/>
      <c r="H714" s="69"/>
    </row>
    <row r="715" spans="7:8" ht="13.2">
      <c r="G715" s="69"/>
      <c r="H715" s="69"/>
    </row>
    <row r="716" spans="7:8" ht="13.2">
      <c r="G716" s="69"/>
      <c r="H716" s="69"/>
    </row>
    <row r="717" spans="7:8" ht="13.2">
      <c r="G717" s="69"/>
      <c r="H717" s="69"/>
    </row>
    <row r="718" spans="7:8" ht="13.2">
      <c r="G718" s="69"/>
      <c r="H718" s="69"/>
    </row>
    <row r="719" spans="7:8" ht="13.2">
      <c r="G719" s="69"/>
      <c r="H719" s="69"/>
    </row>
    <row r="720" spans="7:8" ht="13.2">
      <c r="G720" s="69"/>
      <c r="H720" s="69"/>
    </row>
    <row r="721" spans="7:8" ht="13.2">
      <c r="G721" s="69"/>
      <c r="H721" s="69"/>
    </row>
    <row r="722" spans="7:8" ht="13.2">
      <c r="G722" s="69"/>
      <c r="H722" s="69"/>
    </row>
    <row r="723" spans="7:8" ht="13.2">
      <c r="G723" s="69"/>
      <c r="H723" s="69"/>
    </row>
    <row r="724" spans="7:8" ht="13.2">
      <c r="G724" s="69"/>
      <c r="H724" s="69"/>
    </row>
    <row r="725" spans="7:8" ht="13.2">
      <c r="G725" s="69"/>
      <c r="H725" s="69"/>
    </row>
    <row r="726" spans="7:8" ht="13.2">
      <c r="G726" s="69"/>
      <c r="H726" s="69"/>
    </row>
    <row r="727" spans="7:8" ht="13.2">
      <c r="G727" s="69"/>
      <c r="H727" s="69"/>
    </row>
    <row r="728" spans="7:8" ht="13.2">
      <c r="G728" s="69"/>
      <c r="H728" s="69"/>
    </row>
    <row r="729" spans="7:8" ht="13.2">
      <c r="G729" s="69"/>
      <c r="H729" s="69"/>
    </row>
    <row r="730" spans="7:8" ht="13.2">
      <c r="G730" s="69"/>
      <c r="H730" s="69"/>
    </row>
    <row r="731" spans="7:8" ht="13.2">
      <c r="G731" s="69"/>
      <c r="H731" s="69"/>
    </row>
    <row r="732" spans="7:8" ht="13.2">
      <c r="G732" s="69"/>
      <c r="H732" s="69"/>
    </row>
    <row r="733" spans="7:8" ht="13.2">
      <c r="G733" s="69"/>
      <c r="H733" s="69"/>
    </row>
    <row r="734" spans="7:8" ht="13.2">
      <c r="G734" s="69"/>
      <c r="H734" s="69"/>
    </row>
    <row r="735" spans="7:8" ht="13.2">
      <c r="G735" s="69"/>
      <c r="H735" s="69"/>
    </row>
    <row r="736" spans="7:8" ht="13.2">
      <c r="G736" s="69"/>
      <c r="H736" s="69"/>
    </row>
    <row r="737" spans="7:8" ht="13.2">
      <c r="G737" s="69"/>
      <c r="H737" s="69"/>
    </row>
    <row r="738" spans="7:8" ht="13.2">
      <c r="G738" s="69"/>
      <c r="H738" s="69"/>
    </row>
    <row r="739" spans="7:8" ht="13.2">
      <c r="G739" s="69"/>
      <c r="H739" s="69"/>
    </row>
    <row r="740" spans="7:8" ht="13.2">
      <c r="G740" s="69"/>
      <c r="H740" s="69"/>
    </row>
    <row r="741" spans="7:8" ht="13.2">
      <c r="G741" s="69"/>
      <c r="H741" s="69"/>
    </row>
    <row r="742" spans="7:8" ht="13.2">
      <c r="G742" s="69"/>
      <c r="H742" s="69"/>
    </row>
    <row r="743" spans="7:8" ht="13.2">
      <c r="G743" s="69"/>
      <c r="H743" s="69"/>
    </row>
    <row r="744" spans="7:8" ht="13.2">
      <c r="G744" s="69"/>
      <c r="H744" s="69"/>
    </row>
    <row r="745" spans="7:8" ht="13.2">
      <c r="G745" s="69"/>
      <c r="H745" s="69"/>
    </row>
    <row r="746" spans="7:8" ht="13.2">
      <c r="G746" s="69"/>
      <c r="H746" s="69"/>
    </row>
    <row r="747" spans="7:8" ht="13.2">
      <c r="G747" s="69"/>
      <c r="H747" s="69"/>
    </row>
    <row r="748" spans="7:8" ht="13.2">
      <c r="G748" s="69"/>
      <c r="H748" s="69"/>
    </row>
    <row r="749" spans="7:8" ht="13.2">
      <c r="G749" s="69"/>
      <c r="H749" s="69"/>
    </row>
    <row r="750" spans="7:8" ht="13.2">
      <c r="G750" s="69"/>
      <c r="H750" s="69"/>
    </row>
    <row r="751" spans="7:8" ht="13.2">
      <c r="G751" s="69"/>
      <c r="H751" s="69"/>
    </row>
    <row r="752" spans="7:8" ht="13.2">
      <c r="G752" s="69"/>
      <c r="H752" s="69"/>
    </row>
    <row r="753" spans="7:8" ht="13.2">
      <c r="G753" s="69"/>
      <c r="H753" s="69"/>
    </row>
    <row r="754" spans="7:8" ht="13.2">
      <c r="G754" s="69"/>
      <c r="H754" s="69"/>
    </row>
    <row r="755" spans="7:8" ht="13.2">
      <c r="G755" s="69"/>
      <c r="H755" s="69"/>
    </row>
    <row r="756" spans="7:8" ht="13.2">
      <c r="G756" s="69"/>
      <c r="H756" s="69"/>
    </row>
    <row r="757" spans="7:8" ht="13.2">
      <c r="G757" s="69"/>
      <c r="H757" s="69"/>
    </row>
    <row r="758" spans="7:8" ht="13.2">
      <c r="G758" s="69"/>
      <c r="H758" s="69"/>
    </row>
    <row r="759" spans="7:8" ht="13.2">
      <c r="G759" s="69"/>
      <c r="H759" s="69"/>
    </row>
    <row r="760" spans="7:8" ht="13.2">
      <c r="G760" s="69"/>
      <c r="H760" s="69"/>
    </row>
    <row r="761" spans="7:8" ht="13.2">
      <c r="G761" s="69"/>
      <c r="H761" s="69"/>
    </row>
    <row r="762" spans="7:8" ht="13.2">
      <c r="G762" s="69"/>
      <c r="H762" s="69"/>
    </row>
    <row r="763" spans="7:8" ht="13.2">
      <c r="G763" s="69"/>
      <c r="H763" s="69"/>
    </row>
    <row r="764" spans="7:8" ht="13.2">
      <c r="G764" s="69"/>
      <c r="H764" s="69"/>
    </row>
    <row r="765" spans="7:8" ht="13.2">
      <c r="G765" s="69"/>
      <c r="H765" s="69"/>
    </row>
    <row r="766" spans="7:8" ht="13.2">
      <c r="G766" s="69"/>
      <c r="H766" s="69"/>
    </row>
    <row r="767" spans="7:8" ht="13.2">
      <c r="G767" s="69"/>
      <c r="H767" s="69"/>
    </row>
    <row r="768" spans="7:8" ht="13.2">
      <c r="G768" s="69"/>
      <c r="H768" s="69"/>
    </row>
    <row r="769" spans="7:8" ht="13.2">
      <c r="G769" s="69"/>
      <c r="H769" s="69"/>
    </row>
    <row r="770" spans="7:8" ht="13.2">
      <c r="G770" s="69"/>
      <c r="H770" s="69"/>
    </row>
    <row r="771" spans="7:8" ht="13.2">
      <c r="G771" s="69"/>
      <c r="H771" s="69"/>
    </row>
    <row r="772" spans="7:8" ht="13.2">
      <c r="G772" s="69"/>
      <c r="H772" s="69"/>
    </row>
    <row r="773" spans="7:8" ht="13.2">
      <c r="G773" s="69"/>
      <c r="H773" s="69"/>
    </row>
    <row r="774" spans="7:8" ht="13.2">
      <c r="G774" s="69"/>
      <c r="H774" s="69"/>
    </row>
    <row r="775" spans="7:8" ht="13.2">
      <c r="G775" s="69"/>
      <c r="H775" s="69"/>
    </row>
    <row r="776" spans="7:8" ht="13.2">
      <c r="G776" s="69"/>
      <c r="H776" s="69"/>
    </row>
    <row r="777" spans="7:8" ht="13.2">
      <c r="G777" s="69"/>
      <c r="H777" s="69"/>
    </row>
    <row r="778" spans="7:8" ht="13.2">
      <c r="G778" s="69"/>
      <c r="H778" s="69"/>
    </row>
    <row r="779" spans="7:8" ht="13.2">
      <c r="G779" s="69"/>
      <c r="H779" s="69"/>
    </row>
    <row r="780" spans="7:8" ht="13.2">
      <c r="G780" s="69"/>
      <c r="H780" s="69"/>
    </row>
    <row r="781" spans="7:8" ht="13.2">
      <c r="G781" s="69"/>
      <c r="H781" s="69"/>
    </row>
    <row r="782" spans="7:8" ht="13.2">
      <c r="G782" s="69"/>
      <c r="H782" s="69"/>
    </row>
    <row r="783" spans="7:8" ht="13.2">
      <c r="G783" s="69"/>
      <c r="H783" s="69"/>
    </row>
    <row r="784" spans="7:8" ht="13.2">
      <c r="G784" s="69"/>
      <c r="H784" s="69"/>
    </row>
    <row r="785" spans="7:8" ht="13.2">
      <c r="G785" s="69"/>
      <c r="H785" s="69"/>
    </row>
    <row r="786" spans="7:8" ht="13.2">
      <c r="G786" s="69"/>
      <c r="H786" s="69"/>
    </row>
    <row r="787" spans="7:8" ht="13.2">
      <c r="G787" s="69"/>
      <c r="H787" s="69"/>
    </row>
    <row r="788" spans="7:8" ht="13.2">
      <c r="G788" s="69"/>
      <c r="H788" s="69"/>
    </row>
    <row r="789" spans="7:8" ht="13.2">
      <c r="G789" s="69"/>
      <c r="H789" s="69"/>
    </row>
    <row r="790" spans="7:8" ht="13.2">
      <c r="G790" s="69"/>
      <c r="H790" s="69"/>
    </row>
    <row r="791" spans="7:8" ht="13.2">
      <c r="G791" s="69"/>
      <c r="H791" s="69"/>
    </row>
    <row r="792" spans="7:8" ht="13.2">
      <c r="G792" s="69"/>
      <c r="H792" s="69"/>
    </row>
    <row r="793" spans="7:8" ht="13.2">
      <c r="G793" s="69"/>
      <c r="H793" s="69"/>
    </row>
    <row r="794" spans="7:8" ht="13.2">
      <c r="G794" s="69"/>
      <c r="H794" s="69"/>
    </row>
    <row r="795" spans="7:8" ht="13.2">
      <c r="G795" s="69"/>
      <c r="H795" s="69"/>
    </row>
    <row r="796" spans="7:8" ht="13.2">
      <c r="G796" s="69"/>
      <c r="H796" s="69"/>
    </row>
    <row r="797" spans="7:8" ht="13.2">
      <c r="G797" s="69"/>
      <c r="H797" s="69"/>
    </row>
    <row r="798" spans="7:8" ht="13.2">
      <c r="G798" s="69"/>
      <c r="H798" s="69"/>
    </row>
    <row r="799" spans="7:8" ht="13.2">
      <c r="G799" s="69"/>
      <c r="H799" s="69"/>
    </row>
    <row r="800" spans="7:8" ht="13.2">
      <c r="G800" s="69"/>
      <c r="H800" s="69"/>
    </row>
    <row r="801" spans="7:8" ht="13.2">
      <c r="G801" s="69"/>
      <c r="H801" s="69"/>
    </row>
    <row r="802" spans="7:8" ht="13.2">
      <c r="G802" s="69"/>
      <c r="H802" s="69"/>
    </row>
    <row r="803" spans="7:8" ht="13.2">
      <c r="G803" s="69"/>
      <c r="H803" s="69"/>
    </row>
    <row r="804" spans="7:8" ht="13.2">
      <c r="G804" s="69"/>
      <c r="H804" s="69"/>
    </row>
    <row r="805" spans="7:8" ht="13.2">
      <c r="G805" s="69"/>
      <c r="H805" s="69"/>
    </row>
    <row r="806" spans="7:8" ht="13.2">
      <c r="G806" s="69"/>
      <c r="H806" s="69"/>
    </row>
    <row r="807" spans="7:8" ht="13.2">
      <c r="G807" s="69"/>
      <c r="H807" s="69"/>
    </row>
    <row r="808" spans="7:8" ht="13.2">
      <c r="G808" s="69"/>
      <c r="H808" s="69"/>
    </row>
    <row r="809" spans="7:8" ht="13.2">
      <c r="G809" s="69"/>
      <c r="H809" s="69"/>
    </row>
    <row r="810" spans="7:8" ht="13.2">
      <c r="G810" s="69"/>
      <c r="H810" s="69"/>
    </row>
    <row r="811" spans="7:8" ht="13.2">
      <c r="G811" s="69"/>
      <c r="H811" s="69"/>
    </row>
    <row r="812" spans="7:8" ht="13.2">
      <c r="G812" s="69"/>
      <c r="H812" s="69"/>
    </row>
    <row r="813" spans="7:8" ht="13.2">
      <c r="G813" s="69"/>
      <c r="H813" s="69"/>
    </row>
    <row r="814" spans="7:8" ht="13.2">
      <c r="G814" s="69"/>
      <c r="H814" s="69"/>
    </row>
    <row r="815" spans="7:8" ht="13.2">
      <c r="G815" s="69"/>
      <c r="H815" s="69"/>
    </row>
    <row r="816" spans="7:8" ht="13.2">
      <c r="G816" s="69"/>
      <c r="H816" s="69"/>
    </row>
    <row r="817" spans="7:8" ht="13.2">
      <c r="G817" s="69"/>
      <c r="H817" s="69"/>
    </row>
    <row r="818" spans="7:8" ht="13.2">
      <c r="G818" s="69"/>
      <c r="H818" s="69"/>
    </row>
    <row r="819" spans="7:8" ht="13.2">
      <c r="G819" s="69"/>
      <c r="H819" s="69"/>
    </row>
    <row r="820" spans="7:8" ht="13.2">
      <c r="G820" s="69"/>
      <c r="H820" s="69"/>
    </row>
    <row r="821" spans="7:8" ht="13.2">
      <c r="G821" s="69"/>
      <c r="H821" s="69"/>
    </row>
    <row r="822" spans="7:8" ht="13.2">
      <c r="G822" s="69"/>
      <c r="H822" s="69"/>
    </row>
    <row r="823" spans="7:8" ht="13.2">
      <c r="G823" s="69"/>
      <c r="H823" s="69"/>
    </row>
    <row r="824" spans="7:8" ht="13.2">
      <c r="G824" s="69"/>
      <c r="H824" s="69"/>
    </row>
    <row r="825" spans="7:8" ht="13.2">
      <c r="G825" s="69"/>
      <c r="H825" s="69"/>
    </row>
    <row r="826" spans="7:8" ht="13.2">
      <c r="G826" s="69"/>
      <c r="H826" s="69"/>
    </row>
    <row r="827" spans="7:8" ht="13.2">
      <c r="G827" s="69"/>
      <c r="H827" s="69"/>
    </row>
    <row r="828" spans="7:8" ht="13.2">
      <c r="G828" s="69"/>
      <c r="H828" s="69"/>
    </row>
    <row r="829" spans="7:8" ht="13.2">
      <c r="G829" s="69"/>
      <c r="H829" s="69"/>
    </row>
    <row r="830" spans="7:8" ht="13.2">
      <c r="G830" s="69"/>
      <c r="H830" s="69"/>
    </row>
    <row r="831" spans="7:8" ht="13.2">
      <c r="G831" s="69"/>
      <c r="H831" s="69"/>
    </row>
    <row r="832" spans="7:8" ht="13.2">
      <c r="G832" s="69"/>
      <c r="H832" s="69"/>
    </row>
    <row r="833" spans="7:8" ht="13.2">
      <c r="G833" s="69"/>
      <c r="H833" s="69"/>
    </row>
    <row r="834" spans="7:8" ht="13.2">
      <c r="G834" s="69"/>
      <c r="H834" s="69"/>
    </row>
    <row r="835" spans="7:8" ht="13.2">
      <c r="G835" s="69"/>
      <c r="H835" s="69"/>
    </row>
    <row r="836" spans="7:8" ht="13.2">
      <c r="G836" s="69"/>
      <c r="H836" s="69"/>
    </row>
    <row r="837" spans="7:8" ht="13.2">
      <c r="G837" s="69"/>
      <c r="H837" s="69"/>
    </row>
    <row r="838" spans="7:8" ht="13.2">
      <c r="G838" s="69"/>
      <c r="H838" s="69"/>
    </row>
    <row r="839" spans="7:8" ht="13.2">
      <c r="G839" s="69"/>
      <c r="H839" s="69"/>
    </row>
    <row r="840" spans="7:8" ht="13.2">
      <c r="G840" s="69"/>
      <c r="H840" s="69"/>
    </row>
    <row r="841" spans="7:8" ht="13.2">
      <c r="G841" s="69"/>
      <c r="H841" s="69"/>
    </row>
    <row r="842" spans="7:8" ht="13.2">
      <c r="G842" s="69"/>
      <c r="H842" s="69"/>
    </row>
    <row r="843" spans="7:8" ht="13.2">
      <c r="G843" s="69"/>
      <c r="H843" s="69"/>
    </row>
    <row r="844" spans="7:8" ht="13.2">
      <c r="G844" s="69"/>
      <c r="H844" s="69"/>
    </row>
    <row r="845" spans="7:8" ht="13.2">
      <c r="G845" s="69"/>
      <c r="H845" s="69"/>
    </row>
    <row r="846" spans="7:8" ht="13.2">
      <c r="G846" s="69"/>
      <c r="H846" s="69"/>
    </row>
    <row r="847" spans="7:8" ht="13.2">
      <c r="G847" s="69"/>
      <c r="H847" s="69"/>
    </row>
    <row r="848" spans="7:8" ht="13.2">
      <c r="G848" s="69"/>
      <c r="H848" s="69"/>
    </row>
    <row r="849" spans="7:8" ht="13.2">
      <c r="G849" s="69"/>
      <c r="H849" s="69"/>
    </row>
    <row r="850" spans="7:8" ht="13.2">
      <c r="G850" s="69"/>
      <c r="H850" s="69"/>
    </row>
    <row r="851" spans="7:8" ht="13.2">
      <c r="G851" s="69"/>
      <c r="H851" s="69"/>
    </row>
    <row r="852" spans="7:8" ht="13.2">
      <c r="G852" s="69"/>
      <c r="H852" s="69"/>
    </row>
    <row r="853" spans="7:8" ht="13.2">
      <c r="G853" s="69"/>
      <c r="H853" s="69"/>
    </row>
    <row r="854" spans="7:8" ht="13.2">
      <c r="G854" s="69"/>
      <c r="H854" s="69"/>
    </row>
    <row r="855" spans="7:8" ht="13.2">
      <c r="G855" s="69"/>
      <c r="H855" s="69"/>
    </row>
    <row r="856" spans="7:8" ht="13.2">
      <c r="G856" s="69"/>
      <c r="H856" s="69"/>
    </row>
    <row r="857" spans="7:8" ht="13.2">
      <c r="G857" s="69"/>
      <c r="H857" s="69"/>
    </row>
    <row r="858" spans="7:8" ht="13.2">
      <c r="G858" s="69"/>
      <c r="H858" s="69"/>
    </row>
    <row r="859" spans="7:8" ht="13.2">
      <c r="G859" s="69"/>
      <c r="H859" s="69"/>
    </row>
    <row r="860" spans="7:8" ht="13.2">
      <c r="G860" s="69"/>
      <c r="H860" s="69"/>
    </row>
    <row r="861" spans="7:8" ht="13.2">
      <c r="G861" s="69"/>
      <c r="H861" s="69"/>
    </row>
    <row r="862" spans="7:8" ht="13.2">
      <c r="G862" s="69"/>
      <c r="H862" s="69"/>
    </row>
    <row r="863" spans="7:8" ht="13.2">
      <c r="G863" s="69"/>
      <c r="H863" s="69"/>
    </row>
    <row r="864" spans="7:8" ht="13.2">
      <c r="G864" s="69"/>
      <c r="H864" s="69"/>
    </row>
    <row r="865" spans="7:8" ht="13.2">
      <c r="G865" s="69"/>
      <c r="H865" s="69"/>
    </row>
    <row r="866" spans="7:8" ht="13.2">
      <c r="G866" s="69"/>
      <c r="H866" s="69"/>
    </row>
    <row r="867" spans="7:8" ht="13.2">
      <c r="G867" s="69"/>
      <c r="H867" s="69"/>
    </row>
    <row r="868" spans="7:8" ht="13.2">
      <c r="G868" s="69"/>
      <c r="H868" s="69"/>
    </row>
    <row r="869" spans="7:8" ht="13.2">
      <c r="G869" s="69"/>
      <c r="H869" s="69"/>
    </row>
    <row r="870" spans="7:8" ht="13.2">
      <c r="G870" s="69"/>
      <c r="H870" s="69"/>
    </row>
    <row r="871" spans="7:8" ht="13.2">
      <c r="G871" s="69"/>
      <c r="H871" s="69"/>
    </row>
    <row r="872" spans="7:8" ht="13.2">
      <c r="G872" s="69"/>
      <c r="H872" s="69"/>
    </row>
    <row r="873" spans="7:8" ht="13.2">
      <c r="G873" s="69"/>
      <c r="H873" s="69"/>
    </row>
    <row r="874" spans="7:8" ht="13.2">
      <c r="G874" s="69"/>
      <c r="H874" s="69"/>
    </row>
    <row r="875" spans="7:8" ht="13.2">
      <c r="G875" s="69"/>
      <c r="H875" s="69"/>
    </row>
    <row r="876" spans="7:8" ht="13.2">
      <c r="G876" s="69"/>
      <c r="H876" s="69"/>
    </row>
    <row r="877" spans="7:8" ht="13.2">
      <c r="G877" s="69"/>
      <c r="H877" s="69"/>
    </row>
    <row r="878" spans="7:8" ht="13.2">
      <c r="G878" s="69"/>
      <c r="H878" s="69"/>
    </row>
    <row r="879" spans="7:8" ht="13.2">
      <c r="G879" s="69"/>
      <c r="H879" s="69"/>
    </row>
    <row r="880" spans="7:8" ht="13.2">
      <c r="G880" s="69"/>
      <c r="H880" s="69"/>
    </row>
    <row r="881" spans="7:8" ht="13.2">
      <c r="G881" s="69"/>
      <c r="H881" s="69"/>
    </row>
    <row r="882" spans="7:8" ht="13.2">
      <c r="G882" s="69"/>
      <c r="H882" s="69"/>
    </row>
    <row r="883" spans="7:8" ht="13.2">
      <c r="G883" s="69"/>
      <c r="H883" s="69"/>
    </row>
    <row r="884" spans="7:8" ht="13.2">
      <c r="G884" s="69"/>
      <c r="H884" s="69"/>
    </row>
    <row r="885" spans="7:8" ht="13.2">
      <c r="G885" s="69"/>
      <c r="H885" s="69"/>
    </row>
    <row r="886" spans="7:8" ht="13.2">
      <c r="G886" s="69"/>
      <c r="H886" s="69"/>
    </row>
    <row r="887" spans="7:8" ht="13.2">
      <c r="G887" s="69"/>
      <c r="H887" s="69"/>
    </row>
    <row r="888" spans="7:8" ht="13.2">
      <c r="G888" s="69"/>
      <c r="H888" s="69"/>
    </row>
    <row r="889" spans="7:8" ht="13.2">
      <c r="G889" s="69"/>
      <c r="H889" s="69"/>
    </row>
    <row r="890" spans="7:8" ht="13.2">
      <c r="G890" s="69"/>
      <c r="H890" s="69"/>
    </row>
    <row r="891" spans="7:8" ht="13.2">
      <c r="G891" s="69"/>
      <c r="H891" s="69"/>
    </row>
    <row r="892" spans="7:8" ht="13.2">
      <c r="G892" s="69"/>
      <c r="H892" s="69"/>
    </row>
    <row r="893" spans="7:8" ht="13.2">
      <c r="G893" s="69"/>
      <c r="H893" s="69"/>
    </row>
    <row r="894" spans="7:8" ht="13.2">
      <c r="G894" s="69"/>
      <c r="H894" s="69"/>
    </row>
    <row r="895" spans="7:8" ht="13.2">
      <c r="G895" s="69"/>
      <c r="H895" s="69"/>
    </row>
    <row r="896" spans="7:8" ht="13.2">
      <c r="G896" s="69"/>
      <c r="H896" s="69"/>
    </row>
    <row r="897" spans="7:8" ht="13.2">
      <c r="G897" s="69"/>
      <c r="H897" s="69"/>
    </row>
    <row r="898" spans="7:8" ht="13.2">
      <c r="G898" s="69"/>
      <c r="H898" s="69"/>
    </row>
    <row r="899" spans="7:8" ht="13.2">
      <c r="G899" s="69"/>
      <c r="H899" s="69"/>
    </row>
    <row r="900" spans="7:8" ht="13.2">
      <c r="G900" s="69"/>
      <c r="H900" s="69"/>
    </row>
    <row r="901" spans="7:8" ht="13.2">
      <c r="G901" s="69"/>
      <c r="H901" s="69"/>
    </row>
    <row r="902" spans="7:8" ht="13.2">
      <c r="G902" s="69"/>
      <c r="H902" s="69"/>
    </row>
    <row r="903" spans="7:8" ht="13.2">
      <c r="G903" s="69"/>
      <c r="H903" s="69"/>
    </row>
    <row r="904" spans="7:8" ht="13.2">
      <c r="G904" s="69"/>
      <c r="H904" s="69"/>
    </row>
    <row r="905" spans="7:8" ht="13.2">
      <c r="G905" s="69"/>
      <c r="H905" s="69"/>
    </row>
    <row r="906" spans="7:8" ht="13.2">
      <c r="G906" s="69"/>
      <c r="H906" s="69"/>
    </row>
    <row r="907" spans="7:8" ht="13.2">
      <c r="G907" s="69"/>
      <c r="H907" s="69"/>
    </row>
    <row r="908" spans="7:8" ht="13.2">
      <c r="G908" s="69"/>
      <c r="H908" s="69"/>
    </row>
    <row r="909" spans="7:8" ht="13.2">
      <c r="G909" s="69"/>
      <c r="H909" s="69"/>
    </row>
    <row r="910" spans="7:8" ht="13.2">
      <c r="G910" s="69"/>
      <c r="H910" s="69"/>
    </row>
    <row r="911" spans="7:8" ht="13.2">
      <c r="G911" s="69"/>
      <c r="H911" s="69"/>
    </row>
    <row r="912" spans="7:8" ht="13.2">
      <c r="G912" s="69"/>
      <c r="H912" s="69"/>
    </row>
    <row r="913" spans="7:8" ht="13.2">
      <c r="G913" s="69"/>
      <c r="H913" s="69"/>
    </row>
    <row r="914" spans="7:8" ht="13.2">
      <c r="G914" s="69"/>
      <c r="H914" s="69"/>
    </row>
    <row r="915" spans="7:8" ht="13.2">
      <c r="G915" s="69"/>
      <c r="H915" s="69"/>
    </row>
    <row r="916" spans="7:8" ht="13.2">
      <c r="G916" s="69"/>
      <c r="H916" s="69"/>
    </row>
    <row r="917" spans="7:8" ht="13.2">
      <c r="G917" s="69"/>
      <c r="H917" s="69"/>
    </row>
    <row r="918" spans="7:8" ht="13.2">
      <c r="G918" s="69"/>
      <c r="H918" s="69"/>
    </row>
    <row r="919" spans="7:8" ht="13.2">
      <c r="G919" s="69"/>
      <c r="H919" s="69"/>
    </row>
    <row r="920" spans="7:8" ht="13.2">
      <c r="G920" s="69"/>
      <c r="H920" s="69"/>
    </row>
    <row r="921" spans="7:8" ht="13.2">
      <c r="G921" s="69"/>
      <c r="H921" s="69"/>
    </row>
    <row r="922" spans="7:8" ht="13.2">
      <c r="G922" s="69"/>
      <c r="H922" s="69"/>
    </row>
    <row r="923" spans="7:8" ht="13.2">
      <c r="G923" s="69"/>
      <c r="H923" s="69"/>
    </row>
    <row r="924" spans="7:8" ht="13.2">
      <c r="G924" s="69"/>
      <c r="H924" s="69"/>
    </row>
    <row r="925" spans="7:8" ht="13.2">
      <c r="G925" s="69"/>
      <c r="H925" s="69"/>
    </row>
    <row r="926" spans="7:8" ht="13.2">
      <c r="G926" s="69"/>
      <c r="H926" s="69"/>
    </row>
    <row r="927" spans="7:8" ht="13.2">
      <c r="G927" s="69"/>
      <c r="H927" s="69"/>
    </row>
    <row r="928" spans="7:8" ht="13.2">
      <c r="G928" s="69"/>
      <c r="H928" s="69"/>
    </row>
    <row r="929" spans="7:8" ht="13.2">
      <c r="G929" s="69"/>
      <c r="H929" s="69"/>
    </row>
    <row r="930" spans="7:8" ht="13.2">
      <c r="G930" s="69"/>
      <c r="H930" s="69"/>
    </row>
    <row r="931" spans="7:8" ht="13.2">
      <c r="G931" s="69"/>
      <c r="H931" s="69"/>
    </row>
    <row r="932" spans="7:8" ht="13.2">
      <c r="G932" s="69"/>
      <c r="H932" s="69"/>
    </row>
    <row r="933" spans="7:8" ht="13.2">
      <c r="G933" s="69"/>
      <c r="H933" s="69"/>
    </row>
    <row r="934" spans="7:8" ht="13.2">
      <c r="G934" s="69"/>
      <c r="H934" s="69"/>
    </row>
    <row r="935" spans="7:8" ht="13.2">
      <c r="G935" s="69"/>
      <c r="H935" s="69"/>
    </row>
    <row r="936" spans="7:8" ht="13.2">
      <c r="G936" s="69"/>
      <c r="H936" s="69"/>
    </row>
    <row r="937" spans="7:8" ht="13.2">
      <c r="G937" s="69"/>
      <c r="H937" s="69"/>
    </row>
    <row r="938" spans="7:8" ht="13.2">
      <c r="G938" s="69"/>
      <c r="H938" s="69"/>
    </row>
    <row r="939" spans="7:8" ht="13.2">
      <c r="G939" s="69"/>
      <c r="H939" s="69"/>
    </row>
    <row r="940" spans="7:8" ht="13.2">
      <c r="G940" s="69"/>
      <c r="H940" s="69"/>
    </row>
    <row r="941" spans="7:8" ht="13.2">
      <c r="G941" s="69"/>
      <c r="H941" s="69"/>
    </row>
    <row r="942" spans="7:8" ht="13.2">
      <c r="G942" s="69"/>
      <c r="H942" s="69"/>
    </row>
    <row r="943" spans="7:8" ht="13.2">
      <c r="G943" s="69"/>
      <c r="H943" s="69"/>
    </row>
    <row r="944" spans="7:8" ht="13.2">
      <c r="G944" s="69"/>
      <c r="H944" s="69"/>
    </row>
    <row r="945" spans="7:8" ht="13.2">
      <c r="G945" s="69"/>
      <c r="H945" s="69"/>
    </row>
    <row r="946" spans="7:8" ht="13.2">
      <c r="G946" s="69"/>
      <c r="H946" s="69"/>
    </row>
    <row r="947" spans="7:8" ht="13.2">
      <c r="G947" s="69"/>
      <c r="H947" s="69"/>
    </row>
    <row r="948" spans="7:8" ht="13.2">
      <c r="G948" s="69"/>
      <c r="H948" s="69"/>
    </row>
    <row r="949" spans="7:8" ht="13.2">
      <c r="G949" s="69"/>
      <c r="H949" s="69"/>
    </row>
    <row r="950" spans="7:8" ht="13.2">
      <c r="G950" s="69"/>
      <c r="H950" s="69"/>
    </row>
    <row r="951" spans="7:8" ht="13.2">
      <c r="G951" s="69"/>
      <c r="H951" s="69"/>
    </row>
    <row r="952" spans="7:8" ht="13.2">
      <c r="G952" s="69"/>
      <c r="H952" s="69"/>
    </row>
    <row r="953" spans="7:8" ht="13.2">
      <c r="G953" s="69"/>
      <c r="H953" s="69"/>
    </row>
    <row r="954" spans="7:8" ht="13.2">
      <c r="G954" s="69"/>
      <c r="H954" s="69"/>
    </row>
    <row r="955" spans="7:8" ht="13.2">
      <c r="G955" s="69"/>
      <c r="H955" s="69"/>
    </row>
    <row r="956" spans="7:8" ht="13.2">
      <c r="G956" s="69"/>
      <c r="H956" s="69"/>
    </row>
    <row r="957" spans="7:8" ht="13.2">
      <c r="G957" s="69"/>
      <c r="H957" s="69"/>
    </row>
    <row r="958" spans="7:8" ht="13.2">
      <c r="G958" s="69"/>
      <c r="H958" s="69"/>
    </row>
    <row r="959" spans="7:8" ht="13.2">
      <c r="G959" s="69"/>
      <c r="H959" s="69"/>
    </row>
    <row r="960" spans="7:8" ht="13.2">
      <c r="G960" s="69"/>
      <c r="H960" s="69"/>
    </row>
    <row r="961" spans="7:8" ht="13.2">
      <c r="G961" s="69"/>
      <c r="H961" s="69"/>
    </row>
    <row r="962" spans="7:8" ht="13.2">
      <c r="G962" s="69"/>
      <c r="H962" s="69"/>
    </row>
    <row r="963" spans="7:8" ht="13.2">
      <c r="G963" s="69"/>
      <c r="H963" s="69"/>
    </row>
    <row r="964" spans="7:8" ht="13.2">
      <c r="G964" s="69"/>
      <c r="H964" s="69"/>
    </row>
    <row r="965" spans="7:8" ht="13.2">
      <c r="G965" s="69"/>
      <c r="H965" s="69"/>
    </row>
    <row r="966" spans="7:8" ht="13.2">
      <c r="G966" s="69"/>
      <c r="H966" s="69"/>
    </row>
    <row r="967" spans="7:8" ht="13.2">
      <c r="G967" s="69"/>
      <c r="H967" s="69"/>
    </row>
    <row r="968" spans="7:8" ht="13.2">
      <c r="G968" s="69"/>
      <c r="H968" s="69"/>
    </row>
    <row r="969" spans="7:8" ht="13.2">
      <c r="G969" s="69"/>
      <c r="H969" s="69"/>
    </row>
    <row r="970" spans="7:8" ht="13.2">
      <c r="G970" s="69"/>
      <c r="H970" s="69"/>
    </row>
    <row r="971" spans="7:8" ht="13.2">
      <c r="G971" s="69"/>
      <c r="H971" s="69"/>
    </row>
    <row r="972" spans="7:8" ht="13.2">
      <c r="G972" s="69"/>
      <c r="H972" s="69"/>
    </row>
    <row r="973" spans="7:8" ht="13.2">
      <c r="G973" s="69"/>
      <c r="H973" s="69"/>
    </row>
    <row r="974" spans="7:8" ht="13.2">
      <c r="G974" s="69"/>
      <c r="H974" s="69"/>
    </row>
    <row r="975" spans="7:8" ht="13.2">
      <c r="G975" s="69"/>
      <c r="H975" s="69"/>
    </row>
    <row r="976" spans="7:8" ht="13.2">
      <c r="G976" s="69"/>
      <c r="H976" s="69"/>
    </row>
    <row r="977" spans="7:8" ht="13.2">
      <c r="G977" s="69"/>
      <c r="H977" s="69"/>
    </row>
    <row r="978" spans="7:8" ht="13.2">
      <c r="G978" s="69"/>
      <c r="H978" s="69"/>
    </row>
    <row r="979" spans="7:8" ht="13.2">
      <c r="G979" s="69"/>
      <c r="H979" s="69"/>
    </row>
    <row r="980" spans="7:8" ht="13.2">
      <c r="G980" s="69"/>
      <c r="H980" s="69"/>
    </row>
    <row r="981" spans="7:8" ht="13.2">
      <c r="G981" s="69"/>
      <c r="H981" s="69"/>
    </row>
    <row r="982" spans="7:8" ht="13.2">
      <c r="G982" s="69"/>
      <c r="H982" s="69"/>
    </row>
    <row r="983" spans="7:8" ht="13.2">
      <c r="G983" s="69"/>
      <c r="H983" s="69"/>
    </row>
    <row r="984" spans="7:8" ht="13.2">
      <c r="G984" s="69"/>
      <c r="H984" s="69"/>
    </row>
    <row r="985" spans="7:8" ht="13.2">
      <c r="G985" s="69"/>
      <c r="H985" s="69"/>
    </row>
    <row r="986" spans="7:8" ht="13.2">
      <c r="G986" s="69"/>
      <c r="H986" s="69"/>
    </row>
    <row r="987" spans="7:8" ht="13.2">
      <c r="G987" s="69"/>
      <c r="H987" s="69"/>
    </row>
    <row r="988" spans="7:8" ht="13.2">
      <c r="G988" s="69"/>
      <c r="H988" s="69"/>
    </row>
    <row r="989" spans="7:8" ht="13.2">
      <c r="G989" s="69"/>
      <c r="H989" s="69"/>
    </row>
    <row r="990" spans="7:8" ht="13.2">
      <c r="G990" s="69"/>
      <c r="H990" s="69"/>
    </row>
    <row r="991" spans="7:8" ht="13.2">
      <c r="G991" s="69"/>
      <c r="H991" s="69"/>
    </row>
    <row r="992" spans="7:8" ht="13.2">
      <c r="G992" s="69"/>
      <c r="H992" s="69"/>
    </row>
    <row r="993" spans="7:8" ht="13.2">
      <c r="G993" s="69"/>
      <c r="H993" s="69"/>
    </row>
    <row r="994" spans="7:8" ht="13.2">
      <c r="G994" s="69"/>
      <c r="H994" s="69"/>
    </row>
    <row r="995" spans="7:8" ht="13.2">
      <c r="G995" s="69"/>
      <c r="H995" s="69"/>
    </row>
    <row r="996" spans="7:8" ht="13.2">
      <c r="G996" s="69"/>
      <c r="H996" s="69"/>
    </row>
    <row r="997" spans="7:8" ht="13.2">
      <c r="G997" s="69"/>
      <c r="H997" s="69"/>
    </row>
    <row r="998" spans="7:8" ht="13.2">
      <c r="G998" s="69"/>
      <c r="H998" s="69"/>
    </row>
    <row r="999" spans="7:8" ht="13.2">
      <c r="G999" s="69"/>
      <c r="H999" s="69"/>
    </row>
    <row r="1000" spans="7:8" ht="13.2">
      <c r="G1000" s="69"/>
      <c r="H1000" s="69"/>
    </row>
    <row r="1001" spans="7:8" ht="13.2">
      <c r="G1001" s="69"/>
      <c r="H1001" s="69"/>
    </row>
    <row r="1002" spans="7:8" ht="13.2">
      <c r="G1002" s="69"/>
      <c r="H1002" s="69"/>
    </row>
    <row r="1003" spans="7:8" ht="13.2">
      <c r="G1003" s="69"/>
      <c r="H1003" s="69"/>
    </row>
    <row r="1004" spans="7:8" ht="13.2">
      <c r="G1004" s="69"/>
      <c r="H1004" s="69"/>
    </row>
  </sheetData>
  <mergeCells count="6">
    <mergeCell ref="A6:L6"/>
    <mergeCell ref="A1:L1"/>
    <mergeCell ref="A2:L2"/>
    <mergeCell ref="A3:L3"/>
    <mergeCell ref="A4:K4"/>
    <mergeCell ref="A5:K5"/>
  </mergeCells>
  <conditionalFormatting sqref="E8:I69">
    <cfRule type="containsBlanks" dxfId="5" priority="1">
      <formula>LEN(TRIM(E8))=0</formula>
    </cfRule>
    <cfRule type="cellIs" dxfId="4" priority="2" operator="equal">
      <formula>"A"</formula>
    </cfRule>
    <cfRule type="cellIs" dxfId="3" priority="3" operator="lessThan">
      <formula>50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P999"/>
  <sheetViews>
    <sheetView topLeftCell="A16" zoomScaleNormal="100" workbookViewId="0">
      <selection activeCell="J94" sqref="J94"/>
    </sheetView>
  </sheetViews>
  <sheetFormatPr defaultColWidth="12.6640625" defaultRowHeight="15.75" customHeight="1"/>
  <cols>
    <col min="1" max="1" width="8.44140625" customWidth="1"/>
    <col min="2" max="2" width="12.88671875" customWidth="1"/>
    <col min="3" max="3" width="35.88671875" customWidth="1"/>
    <col min="4" max="4" width="12.6640625" hidden="1"/>
    <col min="5" max="5" width="7" customWidth="1"/>
    <col min="6" max="6" width="8.33203125" customWidth="1"/>
    <col min="7" max="7" width="8.21875" customWidth="1"/>
    <col min="8" max="8" width="7.88671875" customWidth="1"/>
    <col min="9" max="9" width="11.6640625" customWidth="1"/>
    <col min="10" max="10" width="9.33203125" customWidth="1"/>
    <col min="11" max="11" width="9.109375" customWidth="1"/>
    <col min="12" max="13" width="12.6640625" hidden="1"/>
    <col min="14" max="14" width="7.44140625" customWidth="1"/>
  </cols>
  <sheetData>
    <row r="1" spans="1:16" ht="2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"/>
      <c r="N1" s="1"/>
    </row>
    <row r="2" spans="1:16" ht="15">
      <c r="A2" s="105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"/>
      <c r="N2" s="1"/>
    </row>
    <row r="3" spans="1:16" ht="17.399999999999999">
      <c r="A3" s="106" t="s">
        <v>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"/>
      <c r="N3" s="1"/>
    </row>
    <row r="4" spans="1:16" ht="17.399999999999999">
      <c r="A4" s="107" t="s">
        <v>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2"/>
      <c r="M4" s="1"/>
      <c r="N4" s="1"/>
    </row>
    <row r="5" spans="1:16" ht="15.6">
      <c r="A5" s="108" t="s">
        <v>4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"/>
      <c r="M5" s="1"/>
      <c r="N5" s="1"/>
    </row>
    <row r="6" spans="1:16" ht="21">
      <c r="A6" s="109" t="s">
        <v>157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"/>
      <c r="N6" s="1"/>
    </row>
    <row r="7" spans="1:16" ht="41.4">
      <c r="A7" s="3" t="s">
        <v>6</v>
      </c>
      <c r="B7" s="4" t="s">
        <v>7</v>
      </c>
      <c r="C7" s="4" t="s">
        <v>8</v>
      </c>
      <c r="D7" s="5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7" t="s">
        <v>15</v>
      </c>
      <c r="K7" s="5" t="s">
        <v>16</v>
      </c>
      <c r="L7" s="70"/>
      <c r="M7" s="1" t="s">
        <v>17</v>
      </c>
      <c r="N7" s="71" t="s">
        <v>18</v>
      </c>
    </row>
    <row r="8" spans="1:16" ht="15.6">
      <c r="A8" s="11">
        <v>1</v>
      </c>
      <c r="B8" s="12">
        <v>111625201125</v>
      </c>
      <c r="C8" s="13" t="s">
        <v>158</v>
      </c>
      <c r="D8" s="14"/>
      <c r="E8" s="19">
        <v>97</v>
      </c>
      <c r="F8" s="82">
        <v>76.666666666666671</v>
      </c>
      <c r="G8" s="83">
        <v>77</v>
      </c>
      <c r="H8" s="18">
        <v>50</v>
      </c>
      <c r="I8" s="84">
        <v>83</v>
      </c>
      <c r="J8" s="20">
        <f>SUM(E8:I8)/5</f>
        <v>76.733333333333334</v>
      </c>
      <c r="K8" s="21">
        <f>((COUNTIF((E8:I8),"&lt;50"))+(COUNTIF((E8:I8),"=A")))</f>
        <v>0</v>
      </c>
      <c r="L8" s="22" t="str">
        <f>IF((K8&lt;1),"0","1")</f>
        <v>0</v>
      </c>
      <c r="M8" s="23">
        <f>COUNTIF((E8:I8),"=A")</f>
        <v>0</v>
      </c>
      <c r="N8" s="24">
        <v>100</v>
      </c>
      <c r="P8" s="85"/>
    </row>
    <row r="9" spans="1:16" ht="15.6">
      <c r="A9" s="11">
        <v>2</v>
      </c>
      <c r="B9" s="12">
        <v>111625201126</v>
      </c>
      <c r="C9" s="13" t="s">
        <v>159</v>
      </c>
      <c r="D9" s="14"/>
      <c r="E9" s="19">
        <v>20</v>
      </c>
      <c r="F9" s="82">
        <v>50</v>
      </c>
      <c r="G9" s="83">
        <v>74</v>
      </c>
      <c r="H9" s="18">
        <v>27</v>
      </c>
      <c r="I9" s="84">
        <v>30</v>
      </c>
      <c r="J9" s="20">
        <f>SUM(E9:I9)/5</f>
        <v>40.200000000000003</v>
      </c>
      <c r="K9" s="21">
        <f>((COUNTIF((E9:I9),"&lt;50"))+(COUNTIF((E9:I9),"=A")))</f>
        <v>3</v>
      </c>
      <c r="L9" s="22" t="str">
        <f>IF((K9&lt;1),"0","1")</f>
        <v>1</v>
      </c>
      <c r="M9" s="23">
        <f>COUNTIF((E9:I9),"=A")</f>
        <v>0</v>
      </c>
      <c r="N9" s="24">
        <v>98</v>
      </c>
      <c r="P9" s="85"/>
    </row>
    <row r="10" spans="1:16" ht="15.6">
      <c r="A10" s="11">
        <v>3</v>
      </c>
      <c r="B10" s="12">
        <v>111625201127</v>
      </c>
      <c r="C10" s="13" t="s">
        <v>160</v>
      </c>
      <c r="D10" s="14"/>
      <c r="E10" s="19">
        <v>70</v>
      </c>
      <c r="F10" s="82">
        <v>60</v>
      </c>
      <c r="G10" s="83">
        <v>63</v>
      </c>
      <c r="H10" s="18">
        <v>27</v>
      </c>
      <c r="I10" s="84">
        <v>93</v>
      </c>
      <c r="J10" s="20">
        <f>SUM(E10:I10)/5</f>
        <v>62.6</v>
      </c>
      <c r="K10" s="21">
        <f>((COUNTIF((E10:I10),"&lt;50"))+(COUNTIF((E10:I10),"=A")))</f>
        <v>1</v>
      </c>
      <c r="L10" s="22" t="str">
        <f>IF((K10&lt;1),"0","1")</f>
        <v>1</v>
      </c>
      <c r="M10" s="23">
        <f>COUNTIF((E10:I10),"=A")</f>
        <v>0</v>
      </c>
      <c r="N10" s="24">
        <v>94</v>
      </c>
      <c r="P10" s="85"/>
    </row>
    <row r="11" spans="1:16" ht="15.6">
      <c r="A11" s="11">
        <v>4</v>
      </c>
      <c r="B11" s="12">
        <v>111625201128</v>
      </c>
      <c r="C11" s="13" t="s">
        <v>161</v>
      </c>
      <c r="D11" s="14"/>
      <c r="E11" s="19">
        <v>77</v>
      </c>
      <c r="F11" s="82">
        <v>76.666666666666671</v>
      </c>
      <c r="G11" s="86">
        <v>50</v>
      </c>
      <c r="H11" s="18">
        <v>70</v>
      </c>
      <c r="I11" s="84">
        <v>57</v>
      </c>
      <c r="J11" s="20">
        <f>SUM(E11:I11)/5</f>
        <v>66.13333333333334</v>
      </c>
      <c r="K11" s="21">
        <f>((COUNTIF((E11:I11),"&lt;50"))+(COUNTIF((E11:I11),"=A")))</f>
        <v>0</v>
      </c>
      <c r="L11" s="22" t="str">
        <f>IF((K11&lt;1),"0","1")</f>
        <v>0</v>
      </c>
      <c r="M11" s="23">
        <f>COUNTIF((E11:I11),"=A")</f>
        <v>0</v>
      </c>
      <c r="N11" s="24">
        <v>100</v>
      </c>
      <c r="P11" s="85"/>
    </row>
    <row r="12" spans="1:16" ht="15.6">
      <c r="A12" s="11">
        <v>5</v>
      </c>
      <c r="B12" s="12">
        <v>111625201129</v>
      </c>
      <c r="C12" s="13" t="s">
        <v>162</v>
      </c>
      <c r="D12" s="14"/>
      <c r="E12" s="19">
        <v>30</v>
      </c>
      <c r="F12" s="82">
        <v>50</v>
      </c>
      <c r="G12" s="86">
        <v>27</v>
      </c>
      <c r="H12" s="18">
        <v>17</v>
      </c>
      <c r="I12" s="84">
        <v>63</v>
      </c>
      <c r="J12" s="20">
        <f>SUM(E12:I12)/5</f>
        <v>37.4</v>
      </c>
      <c r="K12" s="21">
        <f>((COUNTIF((E12:I12),"&lt;50"))+(COUNTIF((E12:I12),"=A")))</f>
        <v>3</v>
      </c>
      <c r="L12" s="22" t="str">
        <f>IF((K12&lt;1),"0","1")</f>
        <v>1</v>
      </c>
      <c r="M12" s="23">
        <f>COUNTIF((E12:I12),"=A")</f>
        <v>0</v>
      </c>
      <c r="N12" s="24">
        <v>100</v>
      </c>
      <c r="P12" s="85"/>
    </row>
    <row r="13" spans="1:16" ht="15.6">
      <c r="A13" s="11">
        <v>6</v>
      </c>
      <c r="B13" s="12">
        <v>111625201130</v>
      </c>
      <c r="C13" s="13" t="s">
        <v>163</v>
      </c>
      <c r="D13" s="14"/>
      <c r="E13" s="19">
        <v>73</v>
      </c>
      <c r="F13" s="82">
        <v>66.666666666666657</v>
      </c>
      <c r="G13" s="86">
        <v>87</v>
      </c>
      <c r="H13" s="18">
        <v>87</v>
      </c>
      <c r="I13" s="84">
        <v>70</v>
      </c>
      <c r="J13" s="20">
        <f>SUM(E13:I13)/5</f>
        <v>76.73333333333332</v>
      </c>
      <c r="K13" s="21">
        <f>((COUNTIF((E13:I13),"&lt;50"))+(COUNTIF((E13:I13),"=A")))</f>
        <v>0</v>
      </c>
      <c r="L13" s="22" t="str">
        <f>IF((K13&lt;1),"0","1")</f>
        <v>0</v>
      </c>
      <c r="M13" s="23">
        <f>COUNTIF((E13:I13),"=A")</f>
        <v>0</v>
      </c>
      <c r="N13" s="24">
        <v>100</v>
      </c>
      <c r="P13" s="85"/>
    </row>
    <row r="14" spans="1:16" ht="15.6">
      <c r="A14" s="11">
        <v>7</v>
      </c>
      <c r="B14" s="12">
        <v>111625201131</v>
      </c>
      <c r="C14" s="13" t="s">
        <v>164</v>
      </c>
      <c r="D14" s="14"/>
      <c r="E14" s="19">
        <v>73</v>
      </c>
      <c r="F14" s="82">
        <v>80</v>
      </c>
      <c r="G14" s="86">
        <v>83</v>
      </c>
      <c r="H14" s="18">
        <v>77</v>
      </c>
      <c r="I14" s="84">
        <v>93</v>
      </c>
      <c r="J14" s="20">
        <f>SUM(E14:I14)/5</f>
        <v>81.2</v>
      </c>
      <c r="K14" s="21">
        <f>((COUNTIF((E14:I14),"&lt;50"))+(COUNTIF((E14:I14),"=A")))</f>
        <v>0</v>
      </c>
      <c r="L14" s="22" t="str">
        <f>IF((K14&lt;1),"0","1")</f>
        <v>0</v>
      </c>
      <c r="M14" s="23">
        <f>COUNTIF((E14:I14),"=A")</f>
        <v>0</v>
      </c>
      <c r="N14" s="24">
        <v>100</v>
      </c>
      <c r="P14" s="85"/>
    </row>
    <row r="15" spans="1:16" ht="15.6">
      <c r="A15" s="11">
        <v>8</v>
      </c>
      <c r="B15" s="12">
        <v>111625201132</v>
      </c>
      <c r="C15" s="13" t="s">
        <v>165</v>
      </c>
      <c r="D15" s="14"/>
      <c r="E15" s="19">
        <v>50</v>
      </c>
      <c r="F15" s="82">
        <v>63.333333333333329</v>
      </c>
      <c r="G15" s="86">
        <v>67</v>
      </c>
      <c r="H15" s="18">
        <v>53</v>
      </c>
      <c r="I15" s="84">
        <v>67</v>
      </c>
      <c r="J15" s="20">
        <f>SUM(E15:I15)/5</f>
        <v>60.066666666666663</v>
      </c>
      <c r="K15" s="21">
        <f>((COUNTIF((E15:I15),"&lt;50"))+(COUNTIF((E15:I15),"=A")))</f>
        <v>0</v>
      </c>
      <c r="L15" s="22" t="str">
        <f>IF((K15&lt;1),"0","1")</f>
        <v>0</v>
      </c>
      <c r="M15" s="23">
        <f>COUNTIF((E15:I15),"=A")</f>
        <v>0</v>
      </c>
      <c r="N15" s="24">
        <v>96</v>
      </c>
      <c r="P15" s="85"/>
    </row>
    <row r="16" spans="1:16" ht="15.6">
      <c r="A16" s="11">
        <v>9</v>
      </c>
      <c r="B16" s="12">
        <v>111625201133</v>
      </c>
      <c r="C16" s="13" t="s">
        <v>166</v>
      </c>
      <c r="D16" s="14"/>
      <c r="E16" s="19">
        <v>80</v>
      </c>
      <c r="F16" s="82">
        <v>83.333333333333343</v>
      </c>
      <c r="G16" s="86">
        <v>53</v>
      </c>
      <c r="H16" s="18" t="s">
        <v>20</v>
      </c>
      <c r="I16" s="84">
        <v>80</v>
      </c>
      <c r="J16" s="20">
        <f>SUM(E16:I16)/5</f>
        <v>59.266666666666673</v>
      </c>
      <c r="K16" s="21">
        <f>((COUNTIF((E16:I16),"&lt;50"))+(COUNTIF((E16:I16),"=A")))</f>
        <v>1</v>
      </c>
      <c r="L16" s="22" t="str">
        <f>IF((K16&lt;1),"0","1")</f>
        <v>1</v>
      </c>
      <c r="M16" s="23">
        <f>COUNTIF((E16:I16),"=A")</f>
        <v>1</v>
      </c>
      <c r="N16" s="24">
        <v>94</v>
      </c>
      <c r="P16" s="85"/>
    </row>
    <row r="17" spans="1:16" ht="15.6">
      <c r="A17" s="11">
        <v>10</v>
      </c>
      <c r="B17" s="12">
        <v>111625201134</v>
      </c>
      <c r="C17" s="13" t="s">
        <v>167</v>
      </c>
      <c r="D17" s="14"/>
      <c r="E17" s="19">
        <v>70</v>
      </c>
      <c r="F17" s="82">
        <v>63.333333333333329</v>
      </c>
      <c r="G17" s="86">
        <v>70</v>
      </c>
      <c r="H17" s="18" t="s">
        <v>20</v>
      </c>
      <c r="I17" s="84">
        <v>50</v>
      </c>
      <c r="J17" s="20">
        <f>SUM(E17:I17)/5</f>
        <v>50.666666666666664</v>
      </c>
      <c r="K17" s="21">
        <f>((COUNTIF((E17:I17),"&lt;50"))+(COUNTIF((E17:I17),"=A")))</f>
        <v>1</v>
      </c>
      <c r="L17" s="22"/>
      <c r="M17" s="23"/>
      <c r="N17" s="24">
        <v>53</v>
      </c>
      <c r="P17" s="85"/>
    </row>
    <row r="18" spans="1:16" ht="15.6">
      <c r="A18" s="11">
        <v>11</v>
      </c>
      <c r="B18" s="12">
        <v>111625201135</v>
      </c>
      <c r="C18" s="13" t="s">
        <v>168</v>
      </c>
      <c r="D18" s="14"/>
      <c r="E18" s="19">
        <v>57</v>
      </c>
      <c r="F18" s="82">
        <v>66.666666666666657</v>
      </c>
      <c r="G18" s="86">
        <v>77</v>
      </c>
      <c r="H18" s="18">
        <v>60</v>
      </c>
      <c r="I18" s="84">
        <v>70</v>
      </c>
      <c r="J18" s="20">
        <f>SUM(E18:I18)/5</f>
        <v>66.133333333333326</v>
      </c>
      <c r="K18" s="21">
        <f>((COUNTIF((E18:I18),"&lt;50"))+(COUNTIF((E18:I18),"=A")))</f>
        <v>0</v>
      </c>
      <c r="L18" s="22"/>
      <c r="M18" s="23"/>
      <c r="N18" s="24">
        <v>100</v>
      </c>
      <c r="P18" s="85"/>
    </row>
    <row r="19" spans="1:16" ht="15.6">
      <c r="A19" s="11">
        <v>12</v>
      </c>
      <c r="B19" s="12">
        <v>111625201136</v>
      </c>
      <c r="C19" s="13" t="s">
        <v>169</v>
      </c>
      <c r="D19" s="14"/>
      <c r="E19" s="19">
        <v>87</v>
      </c>
      <c r="F19" s="82">
        <v>53.333333333333336</v>
      </c>
      <c r="G19" s="86">
        <v>63</v>
      </c>
      <c r="H19" s="18">
        <v>50</v>
      </c>
      <c r="I19" s="84">
        <v>30</v>
      </c>
      <c r="J19" s="20">
        <f>SUM(E19:I19)/5</f>
        <v>56.666666666666671</v>
      </c>
      <c r="K19" s="21">
        <f>((COUNTIF((E19:I19),"&lt;50"))+(COUNTIF((E19:I19),"=A")))</f>
        <v>1</v>
      </c>
      <c r="L19" s="22"/>
      <c r="M19" s="23"/>
      <c r="N19" s="24">
        <v>98</v>
      </c>
      <c r="P19" s="85"/>
    </row>
    <row r="20" spans="1:16" ht="15.6">
      <c r="A20" s="11">
        <v>13</v>
      </c>
      <c r="B20" s="12">
        <v>111625201137</v>
      </c>
      <c r="C20" s="13" t="s">
        <v>170</v>
      </c>
      <c r="D20" s="14"/>
      <c r="E20" s="19">
        <v>20</v>
      </c>
      <c r="F20" s="82">
        <v>63.333333333333329</v>
      </c>
      <c r="G20" s="86">
        <v>50</v>
      </c>
      <c r="H20" s="18">
        <v>50</v>
      </c>
      <c r="I20" s="84">
        <v>57</v>
      </c>
      <c r="J20" s="20">
        <f>SUM(E20:I20)/5</f>
        <v>48.066666666666663</v>
      </c>
      <c r="K20" s="21">
        <f>((COUNTIF((E20:I20),"&lt;50"))+(COUNTIF((E20:I20),"=A")))</f>
        <v>1</v>
      </c>
      <c r="L20" s="22"/>
      <c r="M20" s="23"/>
      <c r="N20" s="24">
        <v>91</v>
      </c>
      <c r="P20" s="85"/>
    </row>
    <row r="21" spans="1:16" ht="15.6">
      <c r="A21" s="11">
        <v>14</v>
      </c>
      <c r="B21" s="12">
        <v>111625201138</v>
      </c>
      <c r="C21" s="13" t="s">
        <v>171</v>
      </c>
      <c r="D21" s="14"/>
      <c r="E21" s="19">
        <v>100</v>
      </c>
      <c r="F21" s="82">
        <v>86.666666666666671</v>
      </c>
      <c r="G21" s="87">
        <v>70</v>
      </c>
      <c r="H21" s="18">
        <v>57</v>
      </c>
      <c r="I21" s="84">
        <v>70</v>
      </c>
      <c r="J21" s="20">
        <f>SUM(E21:I21)/5</f>
        <v>76.733333333333334</v>
      </c>
      <c r="K21" s="21">
        <f>((COUNTIF((E21:I21),"&lt;50"))+(COUNTIF((E21:I21),"=A")))</f>
        <v>0</v>
      </c>
      <c r="L21" s="22"/>
      <c r="M21" s="23"/>
      <c r="N21" s="24">
        <v>87</v>
      </c>
      <c r="P21" s="85"/>
    </row>
    <row r="22" spans="1:16" ht="15.6">
      <c r="A22" s="11">
        <v>15</v>
      </c>
      <c r="B22" s="12">
        <v>111625201139</v>
      </c>
      <c r="C22" s="13" t="s">
        <v>172</v>
      </c>
      <c r="D22" s="14"/>
      <c r="E22" s="19">
        <v>97</v>
      </c>
      <c r="F22" s="82">
        <v>80</v>
      </c>
      <c r="G22" s="87">
        <v>57</v>
      </c>
      <c r="H22" s="18">
        <v>50</v>
      </c>
      <c r="I22" s="84">
        <v>87</v>
      </c>
      <c r="J22" s="20">
        <f>SUM(E22:I22)/5</f>
        <v>74.2</v>
      </c>
      <c r="K22" s="21">
        <f>((COUNTIF((E22:I22),"&lt;50"))+(COUNTIF((E22:I22),"=A")))</f>
        <v>0</v>
      </c>
      <c r="L22" s="22"/>
      <c r="M22" s="23"/>
      <c r="N22" s="24">
        <v>96</v>
      </c>
      <c r="P22" s="85"/>
    </row>
    <row r="23" spans="1:16" ht="15.6">
      <c r="A23" s="11">
        <v>16</v>
      </c>
      <c r="B23" s="12">
        <v>111625201140</v>
      </c>
      <c r="C23" s="13" t="s">
        <v>173</v>
      </c>
      <c r="D23" s="14"/>
      <c r="E23" s="19">
        <v>77</v>
      </c>
      <c r="F23" s="82">
        <v>63.333333333333329</v>
      </c>
      <c r="G23" s="87">
        <v>60</v>
      </c>
      <c r="H23" s="18">
        <v>50</v>
      </c>
      <c r="I23" s="84">
        <v>70</v>
      </c>
      <c r="J23" s="20">
        <f>SUM(E23:I23)/5</f>
        <v>64.066666666666663</v>
      </c>
      <c r="K23" s="21">
        <f>((COUNTIF((E23:I23),"&lt;50"))+(COUNTIF((E23:I23),"=A")))</f>
        <v>0</v>
      </c>
      <c r="L23" s="22"/>
      <c r="M23" s="23"/>
      <c r="N23" s="24">
        <v>100</v>
      </c>
      <c r="P23" s="85"/>
    </row>
    <row r="24" spans="1:16" ht="15.6">
      <c r="A24" s="11">
        <v>17</v>
      </c>
      <c r="B24" s="12">
        <v>111625201141</v>
      </c>
      <c r="C24" s="13" t="s">
        <v>174</v>
      </c>
      <c r="D24" s="14"/>
      <c r="E24" s="19">
        <v>60</v>
      </c>
      <c r="F24" s="82">
        <v>80</v>
      </c>
      <c r="G24" s="87">
        <v>77</v>
      </c>
      <c r="H24" s="18">
        <v>57</v>
      </c>
      <c r="I24" s="84">
        <v>70</v>
      </c>
      <c r="J24" s="20">
        <f>SUM(E24:I24)/5</f>
        <v>68.8</v>
      </c>
      <c r="K24" s="21">
        <f>((COUNTIF((E24:I24),"&lt;50"))+(COUNTIF((E24:I24),"=A")))</f>
        <v>0</v>
      </c>
      <c r="L24" s="22"/>
      <c r="M24" s="23"/>
      <c r="N24" s="24">
        <v>96</v>
      </c>
      <c r="P24" s="85"/>
    </row>
    <row r="25" spans="1:16" ht="15.6">
      <c r="A25" s="11">
        <v>18</v>
      </c>
      <c r="B25" s="12">
        <v>111625201142</v>
      </c>
      <c r="C25" s="13" t="s">
        <v>175</v>
      </c>
      <c r="D25" s="14"/>
      <c r="E25" s="19">
        <v>93</v>
      </c>
      <c r="F25" s="82">
        <v>90</v>
      </c>
      <c r="G25" s="87">
        <v>67</v>
      </c>
      <c r="H25" s="18">
        <v>73</v>
      </c>
      <c r="I25" s="84">
        <v>50</v>
      </c>
      <c r="J25" s="20">
        <f>SUM(E25:I25)/5</f>
        <v>74.599999999999994</v>
      </c>
      <c r="K25" s="21">
        <f>((COUNTIF((E25:I25),"&lt;50"))+(COUNTIF((E25:I25),"=A")))</f>
        <v>0</v>
      </c>
      <c r="L25" s="22"/>
      <c r="M25" s="23"/>
      <c r="N25" s="24">
        <v>94</v>
      </c>
      <c r="P25" s="85"/>
    </row>
    <row r="26" spans="1:16" ht="15.6">
      <c r="A26" s="11">
        <v>19</v>
      </c>
      <c r="B26" s="12">
        <v>111625201143</v>
      </c>
      <c r="C26" s="13" t="s">
        <v>176</v>
      </c>
      <c r="D26" s="14"/>
      <c r="E26" s="19">
        <v>60</v>
      </c>
      <c r="F26" s="82">
        <v>73.333333333333329</v>
      </c>
      <c r="G26" s="87">
        <v>63</v>
      </c>
      <c r="H26" s="18">
        <v>51</v>
      </c>
      <c r="I26" s="84">
        <v>70</v>
      </c>
      <c r="J26" s="20">
        <f>SUM(E26:I26)/5</f>
        <v>63.466666666666661</v>
      </c>
      <c r="K26" s="21">
        <f>((COUNTIF((E26:I26),"&lt;50"))+(COUNTIF((E26:I26),"=A")))</f>
        <v>0</v>
      </c>
      <c r="L26" s="22"/>
      <c r="M26" s="23"/>
      <c r="N26" s="24">
        <v>98</v>
      </c>
      <c r="P26" s="85"/>
    </row>
    <row r="27" spans="1:16" ht="15.6">
      <c r="A27" s="11">
        <v>20</v>
      </c>
      <c r="B27" s="12">
        <v>111625201144</v>
      </c>
      <c r="C27" s="13" t="s">
        <v>177</v>
      </c>
      <c r="D27" s="14"/>
      <c r="E27" s="19">
        <v>73</v>
      </c>
      <c r="F27" s="82">
        <v>83.333333333333343</v>
      </c>
      <c r="G27" s="87">
        <v>87</v>
      </c>
      <c r="H27" s="18">
        <v>50</v>
      </c>
      <c r="I27" s="84">
        <v>87</v>
      </c>
      <c r="J27" s="20">
        <f>SUM(E27:I27)/5</f>
        <v>76.066666666666677</v>
      </c>
      <c r="K27" s="21">
        <f>((COUNTIF((E27:I27),"&lt;50"))+(COUNTIF((E27:I27),"=A")))</f>
        <v>0</v>
      </c>
      <c r="L27" s="22"/>
      <c r="M27" s="23"/>
      <c r="N27" s="24">
        <v>96</v>
      </c>
      <c r="P27" s="85"/>
    </row>
    <row r="28" spans="1:16" ht="15.6">
      <c r="A28" s="11">
        <v>21</v>
      </c>
      <c r="B28" s="12">
        <v>111625201145</v>
      </c>
      <c r="C28" s="13" t="s">
        <v>178</v>
      </c>
      <c r="D28" s="14"/>
      <c r="E28" s="19">
        <v>80</v>
      </c>
      <c r="F28" s="82">
        <v>60</v>
      </c>
      <c r="G28" s="87">
        <v>90</v>
      </c>
      <c r="H28" s="18">
        <v>33</v>
      </c>
      <c r="I28" s="84">
        <v>63</v>
      </c>
      <c r="J28" s="20">
        <f>SUM(E28:I28)/5</f>
        <v>65.2</v>
      </c>
      <c r="K28" s="21">
        <f>((COUNTIF((E28:I28),"&lt;50"))+(COUNTIF((E28:I28),"=A")))</f>
        <v>1</v>
      </c>
      <c r="L28" s="22"/>
      <c r="M28" s="23"/>
      <c r="N28" s="24">
        <v>94</v>
      </c>
      <c r="P28" s="85"/>
    </row>
    <row r="29" spans="1:16" ht="15.6">
      <c r="A29" s="11">
        <v>22</v>
      </c>
      <c r="B29" s="12">
        <v>111625201146</v>
      </c>
      <c r="C29" s="13" t="s">
        <v>179</v>
      </c>
      <c r="D29" s="14"/>
      <c r="E29" s="19">
        <v>63</v>
      </c>
      <c r="F29" s="82">
        <v>76.666666666666671</v>
      </c>
      <c r="G29" s="87">
        <v>37</v>
      </c>
      <c r="H29" s="18">
        <v>53</v>
      </c>
      <c r="I29" s="84">
        <v>13</v>
      </c>
      <c r="J29" s="20">
        <f>SUM(E29:I29)/5</f>
        <v>48.533333333333339</v>
      </c>
      <c r="K29" s="21">
        <f>((COUNTIF((E29:I29),"&lt;50"))+(COUNTIF((E29:I29),"=A")))</f>
        <v>2</v>
      </c>
      <c r="L29" s="22"/>
      <c r="M29" s="23"/>
      <c r="N29" s="24">
        <v>98</v>
      </c>
      <c r="P29" s="85"/>
    </row>
    <row r="30" spans="1:16" ht="15.6">
      <c r="A30" s="11">
        <v>23</v>
      </c>
      <c r="B30" s="12">
        <v>111625201147</v>
      </c>
      <c r="C30" s="13" t="s">
        <v>180</v>
      </c>
      <c r="D30" s="14"/>
      <c r="E30" s="19">
        <v>67</v>
      </c>
      <c r="F30" s="82">
        <v>43.333333333333336</v>
      </c>
      <c r="G30" s="87">
        <v>43</v>
      </c>
      <c r="H30" s="18">
        <v>17</v>
      </c>
      <c r="I30" s="84">
        <v>67</v>
      </c>
      <c r="J30" s="20">
        <f>SUM(E30:I30)/5</f>
        <v>47.466666666666669</v>
      </c>
      <c r="K30" s="21">
        <f>((COUNTIF((E30:I30),"&lt;50"))+(COUNTIF((E30:I30),"=A")))</f>
        <v>3</v>
      </c>
      <c r="L30" s="22"/>
      <c r="M30" s="23"/>
      <c r="N30" s="24">
        <v>98</v>
      </c>
      <c r="P30" s="85"/>
    </row>
    <row r="31" spans="1:16" ht="15.6">
      <c r="A31" s="11">
        <v>24</v>
      </c>
      <c r="B31" s="12">
        <v>111625201148</v>
      </c>
      <c r="C31" s="13" t="s">
        <v>181</v>
      </c>
      <c r="D31" s="14"/>
      <c r="E31" s="19">
        <v>97</v>
      </c>
      <c r="F31" s="82">
        <v>83.333333333333343</v>
      </c>
      <c r="G31" s="87">
        <v>90</v>
      </c>
      <c r="H31" s="18">
        <v>80</v>
      </c>
      <c r="I31" s="84">
        <v>83</v>
      </c>
      <c r="J31" s="20">
        <f>SUM(E31:I31)/5</f>
        <v>86.666666666666671</v>
      </c>
      <c r="K31" s="21">
        <f>((COUNTIF((E31:I31),"&lt;50"))+(COUNTIF((E31:I31),"=A")))</f>
        <v>0</v>
      </c>
      <c r="L31" s="22"/>
      <c r="M31" s="23"/>
      <c r="N31" s="24">
        <v>96</v>
      </c>
      <c r="P31" s="85"/>
    </row>
    <row r="32" spans="1:16" ht="15.6">
      <c r="A32" s="11">
        <v>25</v>
      </c>
      <c r="B32" s="12">
        <v>111625201149</v>
      </c>
      <c r="C32" s="13" t="s">
        <v>182</v>
      </c>
      <c r="D32" s="14"/>
      <c r="E32" s="82" t="s">
        <v>20</v>
      </c>
      <c r="F32" s="82" t="s">
        <v>20</v>
      </c>
      <c r="G32" s="87" t="s">
        <v>20</v>
      </c>
      <c r="H32" s="18" t="s">
        <v>20</v>
      </c>
      <c r="I32" s="84" t="s">
        <v>20</v>
      </c>
      <c r="J32" s="20">
        <f>SUM(E32:I32)/5</f>
        <v>0</v>
      </c>
      <c r="K32" s="21">
        <f>((COUNTIF((E32:I32),"&lt;50"))+(COUNTIF((E32:I32),"=A")))</f>
        <v>5</v>
      </c>
      <c r="L32" s="22"/>
      <c r="M32" s="23"/>
      <c r="N32" s="24">
        <v>87</v>
      </c>
      <c r="P32" s="85"/>
    </row>
    <row r="33" spans="1:16" ht="15.6">
      <c r="A33" s="11">
        <v>26</v>
      </c>
      <c r="B33" s="12">
        <v>111625201150</v>
      </c>
      <c r="C33" s="13" t="s">
        <v>183</v>
      </c>
      <c r="D33" s="14"/>
      <c r="E33" s="19">
        <v>87</v>
      </c>
      <c r="F33" s="82">
        <v>73.333333333333329</v>
      </c>
      <c r="G33" s="86">
        <v>90</v>
      </c>
      <c r="H33" s="18">
        <v>73</v>
      </c>
      <c r="I33" s="84">
        <v>97</v>
      </c>
      <c r="J33" s="20">
        <f>SUM(E33:I33)/5</f>
        <v>84.066666666666663</v>
      </c>
      <c r="K33" s="21">
        <f>((COUNTIF((E33:I33),"&lt;50"))+(COUNTIF((E33:I33),"=A")))</f>
        <v>0</v>
      </c>
      <c r="L33" s="22"/>
      <c r="M33" s="23"/>
      <c r="N33" s="24">
        <v>100</v>
      </c>
      <c r="P33" s="85"/>
    </row>
    <row r="34" spans="1:16" ht="15.6">
      <c r="A34" s="11">
        <v>27</v>
      </c>
      <c r="B34" s="12">
        <v>111625201151</v>
      </c>
      <c r="C34" s="13" t="s">
        <v>184</v>
      </c>
      <c r="D34" s="14"/>
      <c r="E34" s="19">
        <v>80</v>
      </c>
      <c r="F34" s="82">
        <v>66.666666666666657</v>
      </c>
      <c r="G34" s="86">
        <v>87</v>
      </c>
      <c r="H34" s="18">
        <v>57</v>
      </c>
      <c r="I34" s="84">
        <v>13</v>
      </c>
      <c r="J34" s="20">
        <f>SUM(E34:I34)/5</f>
        <v>60.733333333333327</v>
      </c>
      <c r="K34" s="21">
        <f>((COUNTIF((E34:I34),"&lt;50"))+(COUNTIF((E34:I34),"=A")))</f>
        <v>1</v>
      </c>
      <c r="L34" s="22"/>
      <c r="M34" s="23"/>
      <c r="N34" s="24">
        <v>98</v>
      </c>
      <c r="P34" s="85"/>
    </row>
    <row r="35" spans="1:16" ht="15.6">
      <c r="A35" s="11">
        <v>28</v>
      </c>
      <c r="B35" s="12">
        <v>111625201152</v>
      </c>
      <c r="C35" s="13" t="s">
        <v>185</v>
      </c>
      <c r="D35" s="14"/>
      <c r="E35" s="19">
        <v>50</v>
      </c>
      <c r="F35" s="82">
        <v>30</v>
      </c>
      <c r="G35" s="86">
        <v>70</v>
      </c>
      <c r="H35" s="18">
        <v>37</v>
      </c>
      <c r="I35" s="84">
        <v>50</v>
      </c>
      <c r="J35" s="20">
        <f>SUM(E35:I35)/5</f>
        <v>47.4</v>
      </c>
      <c r="K35" s="21">
        <f>((COUNTIF((E35:I35),"&lt;50"))+(COUNTIF((E35:I35),"=A")))</f>
        <v>2</v>
      </c>
      <c r="L35" s="22"/>
      <c r="M35" s="23"/>
      <c r="N35" s="24">
        <v>96</v>
      </c>
      <c r="P35" s="85"/>
    </row>
    <row r="36" spans="1:16" ht="15.6">
      <c r="A36" s="11">
        <v>29</v>
      </c>
      <c r="B36" s="12">
        <v>111625201153</v>
      </c>
      <c r="C36" s="13" t="s">
        <v>186</v>
      </c>
      <c r="D36" s="14"/>
      <c r="E36" s="19">
        <v>90</v>
      </c>
      <c r="F36" s="82">
        <v>56.666666666666664</v>
      </c>
      <c r="G36" s="86">
        <v>67</v>
      </c>
      <c r="H36" s="18">
        <v>53</v>
      </c>
      <c r="I36" s="84">
        <v>57</v>
      </c>
      <c r="J36" s="20">
        <f>SUM(E36:I36)/5</f>
        <v>64.73333333333332</v>
      </c>
      <c r="K36" s="21">
        <f>((COUNTIF((E36:I36),"&lt;50"))+(COUNTIF((E36:I36),"=A")))</f>
        <v>0</v>
      </c>
      <c r="L36" s="22"/>
      <c r="M36" s="23"/>
      <c r="N36" s="24">
        <v>100</v>
      </c>
      <c r="P36" s="85"/>
    </row>
    <row r="37" spans="1:16" ht="15.6">
      <c r="A37" s="11">
        <v>30</v>
      </c>
      <c r="B37" s="12">
        <v>111625201154</v>
      </c>
      <c r="C37" s="13" t="s">
        <v>187</v>
      </c>
      <c r="D37" s="14"/>
      <c r="E37" s="19">
        <v>90</v>
      </c>
      <c r="F37" s="82">
        <v>90</v>
      </c>
      <c r="G37" s="86">
        <v>93</v>
      </c>
      <c r="H37" s="18">
        <v>83</v>
      </c>
      <c r="I37" s="84">
        <v>63</v>
      </c>
      <c r="J37" s="20">
        <f>SUM(E37:I37)/5</f>
        <v>83.8</v>
      </c>
      <c r="K37" s="21">
        <f>((COUNTIF((E37:I37),"&lt;50"))+(COUNTIF((E37:I37),"=A")))</f>
        <v>0</v>
      </c>
      <c r="L37" s="22"/>
      <c r="M37" s="23"/>
      <c r="N37" s="24">
        <v>98</v>
      </c>
      <c r="P37" s="85"/>
    </row>
    <row r="38" spans="1:16" ht="15.6">
      <c r="A38" s="11">
        <v>31</v>
      </c>
      <c r="B38" s="12">
        <v>111625201155</v>
      </c>
      <c r="C38" s="13" t="s">
        <v>188</v>
      </c>
      <c r="D38" s="14"/>
      <c r="E38" s="19">
        <v>77</v>
      </c>
      <c r="F38" s="82">
        <v>66.666666666666657</v>
      </c>
      <c r="G38" s="86">
        <v>83</v>
      </c>
      <c r="H38" s="18">
        <v>57</v>
      </c>
      <c r="I38" s="84">
        <v>50</v>
      </c>
      <c r="J38" s="20">
        <f>SUM(E38:I38)/5</f>
        <v>66.73333333333332</v>
      </c>
      <c r="K38" s="21">
        <f>((COUNTIF((E38:I38),"&lt;50"))+(COUNTIF((E38:I38),"=A")))</f>
        <v>0</v>
      </c>
      <c r="L38" s="22" t="str">
        <f>IF((K38&lt;1),"0","1")</f>
        <v>0</v>
      </c>
      <c r="M38" s="23">
        <f>COUNTIF((E38:I38),"=A")</f>
        <v>0</v>
      </c>
      <c r="N38" s="24">
        <v>100</v>
      </c>
      <c r="P38" s="85"/>
    </row>
    <row r="39" spans="1:16" ht="15.6">
      <c r="A39" s="11">
        <v>32</v>
      </c>
      <c r="B39" s="12">
        <v>111625201156</v>
      </c>
      <c r="C39" s="13" t="s">
        <v>189</v>
      </c>
      <c r="D39" s="14"/>
      <c r="E39" s="19">
        <v>50</v>
      </c>
      <c r="F39" s="82">
        <v>73</v>
      </c>
      <c r="G39" s="86">
        <v>43</v>
      </c>
      <c r="H39" s="18">
        <v>13</v>
      </c>
      <c r="I39" s="84">
        <v>50</v>
      </c>
      <c r="J39" s="20">
        <f>SUM(E39:I39)/5</f>
        <v>45.8</v>
      </c>
      <c r="K39" s="21">
        <f>((COUNTIF((E39:I39),"&lt;50"))+(COUNTIF((E39:I39),"=A")))</f>
        <v>2</v>
      </c>
      <c r="L39" s="22" t="str">
        <f>IF((K39&lt;1),"0","1")</f>
        <v>1</v>
      </c>
      <c r="M39" s="23">
        <f>COUNTIF((E39:I39),"=A")</f>
        <v>0</v>
      </c>
      <c r="N39" s="24">
        <v>100</v>
      </c>
      <c r="P39" s="85"/>
    </row>
    <row r="40" spans="1:16" ht="15.6">
      <c r="A40" s="11">
        <v>33</v>
      </c>
      <c r="B40" s="12">
        <v>111625201157</v>
      </c>
      <c r="C40" s="13" t="s">
        <v>190</v>
      </c>
      <c r="D40" s="14"/>
      <c r="E40" s="19">
        <v>50</v>
      </c>
      <c r="F40" s="82">
        <v>50</v>
      </c>
      <c r="G40" s="86">
        <v>17</v>
      </c>
      <c r="H40" s="18">
        <v>33</v>
      </c>
      <c r="I40" s="84">
        <v>63</v>
      </c>
      <c r="J40" s="20">
        <f>SUM(E40:I40)/5</f>
        <v>42.6</v>
      </c>
      <c r="K40" s="21">
        <f>((COUNTIF((E40:I40),"&lt;50"))+(COUNTIF((E40:I40),"=A")))</f>
        <v>2</v>
      </c>
      <c r="L40" s="22" t="str">
        <f>IF((K40&lt;1),"0","1")</f>
        <v>1</v>
      </c>
      <c r="M40" s="23">
        <f>COUNTIF((E40:I40),"=A")</f>
        <v>0</v>
      </c>
      <c r="N40" s="24">
        <v>89</v>
      </c>
      <c r="P40" s="85"/>
    </row>
    <row r="41" spans="1:16" ht="15.6">
      <c r="A41" s="11">
        <v>34</v>
      </c>
      <c r="B41" s="12">
        <v>111625201158</v>
      </c>
      <c r="C41" s="13" t="s">
        <v>191</v>
      </c>
      <c r="D41" s="14"/>
      <c r="E41" s="19">
        <v>93</v>
      </c>
      <c r="F41" s="82">
        <v>90</v>
      </c>
      <c r="G41" s="86">
        <v>83</v>
      </c>
      <c r="H41" s="18">
        <v>77</v>
      </c>
      <c r="I41" s="84">
        <v>70</v>
      </c>
      <c r="J41" s="20">
        <f>SUM(E41:I41)/5</f>
        <v>82.6</v>
      </c>
      <c r="K41" s="21">
        <f>((COUNTIF((E41:I41),"&lt;50"))+(COUNTIF((E41:I41),"=A")))</f>
        <v>0</v>
      </c>
      <c r="L41" s="22" t="str">
        <f>IF((K41&lt;1),"0","1")</f>
        <v>0</v>
      </c>
      <c r="M41" s="23">
        <f>COUNTIF((E41:I41),"=A")</f>
        <v>0</v>
      </c>
      <c r="N41" s="24">
        <v>100</v>
      </c>
      <c r="P41" s="85"/>
    </row>
    <row r="42" spans="1:16" ht="15.6">
      <c r="A42" s="11">
        <v>35</v>
      </c>
      <c r="B42" s="12">
        <v>111625201159</v>
      </c>
      <c r="C42" s="13" t="s">
        <v>192</v>
      </c>
      <c r="D42" s="14"/>
      <c r="E42" s="19">
        <v>80</v>
      </c>
      <c r="F42" s="82">
        <v>83.333333333333343</v>
      </c>
      <c r="G42" s="86">
        <v>70</v>
      </c>
      <c r="H42" s="18">
        <v>83</v>
      </c>
      <c r="I42" s="84">
        <v>90</v>
      </c>
      <c r="J42" s="20">
        <f>SUM(E42:I42)/5</f>
        <v>81.26666666666668</v>
      </c>
      <c r="K42" s="21">
        <f>((COUNTIF((E42:I42),"&lt;50"))+(COUNTIF((E42:I42),"=A")))</f>
        <v>0</v>
      </c>
      <c r="L42" s="22" t="str">
        <f>IF((K42&lt;1),"0","1")</f>
        <v>0</v>
      </c>
      <c r="M42" s="23">
        <f>COUNTIF((E42:I42),"=A")</f>
        <v>0</v>
      </c>
      <c r="N42" s="24">
        <v>100</v>
      </c>
      <c r="P42" s="85"/>
    </row>
    <row r="43" spans="1:16" ht="15.6">
      <c r="A43" s="11">
        <v>36</v>
      </c>
      <c r="B43" s="12">
        <v>111625201160</v>
      </c>
      <c r="C43" s="13" t="s">
        <v>193</v>
      </c>
      <c r="D43" s="14"/>
      <c r="E43" s="19">
        <v>83</v>
      </c>
      <c r="F43" s="82">
        <v>50</v>
      </c>
      <c r="G43" s="86">
        <v>50</v>
      </c>
      <c r="H43" s="18">
        <v>23</v>
      </c>
      <c r="I43" s="84">
        <v>40</v>
      </c>
      <c r="J43" s="20">
        <f>SUM(E43:I43)/5</f>
        <v>49.2</v>
      </c>
      <c r="K43" s="21">
        <f>((COUNTIF((E43:I43),"&lt;50"))+(COUNTIF((E43:I43),"=A")))</f>
        <v>2</v>
      </c>
      <c r="L43" s="22" t="str">
        <f>IF((K43&lt;1),"0","1")</f>
        <v>1</v>
      </c>
      <c r="M43" s="23">
        <f>COUNTIF((E43:I43),"=A")</f>
        <v>0</v>
      </c>
      <c r="N43" s="24">
        <v>91</v>
      </c>
      <c r="P43" s="85"/>
    </row>
    <row r="44" spans="1:16" ht="15.6">
      <c r="A44" s="11">
        <v>37</v>
      </c>
      <c r="B44" s="12">
        <v>111625201161</v>
      </c>
      <c r="C44" s="13" t="s">
        <v>194</v>
      </c>
      <c r="D44" s="14"/>
      <c r="E44" s="19">
        <v>67</v>
      </c>
      <c r="F44" s="82">
        <v>86.666666666666671</v>
      </c>
      <c r="G44" s="86">
        <v>67</v>
      </c>
      <c r="H44" s="18">
        <v>77</v>
      </c>
      <c r="I44" s="84">
        <v>53</v>
      </c>
      <c r="J44" s="20">
        <f>SUM(E44:I44)/5</f>
        <v>70.13333333333334</v>
      </c>
      <c r="K44" s="21">
        <f>((COUNTIF((E44:I44),"&lt;50"))+(COUNTIF((E44:I44),"=A")))</f>
        <v>0</v>
      </c>
      <c r="L44" s="22" t="str">
        <f>IF((K44&lt;1),"0","1")</f>
        <v>0</v>
      </c>
      <c r="M44" s="23">
        <f>COUNTIF((E44:I44),"=A")</f>
        <v>0</v>
      </c>
      <c r="N44" s="24">
        <v>100</v>
      </c>
      <c r="P44" s="85"/>
    </row>
    <row r="45" spans="1:16" ht="15.6">
      <c r="A45" s="11">
        <v>38</v>
      </c>
      <c r="B45" s="12">
        <v>111625201162</v>
      </c>
      <c r="C45" s="13" t="s">
        <v>195</v>
      </c>
      <c r="D45" s="14"/>
      <c r="E45" s="19">
        <v>93</v>
      </c>
      <c r="F45" s="82">
        <v>86.666666666666671</v>
      </c>
      <c r="G45" s="86">
        <v>87</v>
      </c>
      <c r="H45" s="18">
        <v>73</v>
      </c>
      <c r="I45" s="84">
        <v>100</v>
      </c>
      <c r="J45" s="20">
        <f>SUM(E45:I45)/5</f>
        <v>87.933333333333337</v>
      </c>
      <c r="K45" s="21">
        <f>((COUNTIF((E45:I45),"&lt;50"))+(COUNTIF((E45:I45),"=A")))</f>
        <v>0</v>
      </c>
      <c r="L45" s="22" t="str">
        <f>IF((K45&lt;1),"0","1")</f>
        <v>0</v>
      </c>
      <c r="M45" s="23">
        <f>COUNTIF((E45:I45),"=A")</f>
        <v>0</v>
      </c>
      <c r="N45" s="24">
        <v>100</v>
      </c>
      <c r="P45" s="85"/>
    </row>
    <row r="46" spans="1:16" ht="15.6">
      <c r="A46" s="11">
        <v>39</v>
      </c>
      <c r="B46" s="12">
        <v>111625201163</v>
      </c>
      <c r="C46" s="13" t="s">
        <v>196</v>
      </c>
      <c r="D46" s="14"/>
      <c r="E46" s="19">
        <v>67</v>
      </c>
      <c r="F46" s="82">
        <v>53.333333333333336</v>
      </c>
      <c r="G46" s="86">
        <v>73</v>
      </c>
      <c r="H46" s="18">
        <v>50</v>
      </c>
      <c r="I46" s="84">
        <v>53</v>
      </c>
      <c r="J46" s="20">
        <f>SUM(E46:I46)/5</f>
        <v>59.266666666666673</v>
      </c>
      <c r="K46" s="21">
        <f>((COUNTIF((E46:I46),"&lt;50"))+(COUNTIF((E46:I46),"=A")))</f>
        <v>0</v>
      </c>
      <c r="L46" s="22" t="str">
        <f>IF((K46&lt;1),"0","1")</f>
        <v>0</v>
      </c>
      <c r="M46" s="23">
        <f>COUNTIF((E46:I46),"=A")</f>
        <v>0</v>
      </c>
      <c r="N46" s="24">
        <v>100</v>
      </c>
      <c r="P46" s="85"/>
    </row>
    <row r="47" spans="1:16" ht="15.6">
      <c r="A47" s="11">
        <v>40</v>
      </c>
      <c r="B47" s="12">
        <v>111625201164</v>
      </c>
      <c r="C47" s="13" t="s">
        <v>197</v>
      </c>
      <c r="D47" s="14"/>
      <c r="E47" s="19">
        <v>97</v>
      </c>
      <c r="F47" s="82">
        <v>73.333333333333329</v>
      </c>
      <c r="G47" s="86" t="s">
        <v>20</v>
      </c>
      <c r="H47" s="18" t="s">
        <v>20</v>
      </c>
      <c r="I47" s="84">
        <v>73</v>
      </c>
      <c r="J47" s="20">
        <f>SUM(E47:I47)/5</f>
        <v>48.666666666666664</v>
      </c>
      <c r="K47" s="21">
        <f>((COUNTIF((E47:I47),"&lt;50"))+(COUNTIF((E47:I47),"=A")))</f>
        <v>2</v>
      </c>
      <c r="L47" s="22" t="str">
        <f>IF((K47&lt;1),"0","1")</f>
        <v>1</v>
      </c>
      <c r="M47" s="23">
        <f>COUNTIF((E47:I47),"=A")</f>
        <v>2</v>
      </c>
      <c r="N47" s="24">
        <v>94</v>
      </c>
      <c r="P47" s="85"/>
    </row>
    <row r="48" spans="1:16" ht="15.6">
      <c r="A48" s="11">
        <v>41</v>
      </c>
      <c r="B48" s="12">
        <v>111625201165</v>
      </c>
      <c r="C48" s="13" t="s">
        <v>198</v>
      </c>
      <c r="D48" s="14"/>
      <c r="E48" s="19">
        <v>57</v>
      </c>
      <c r="F48" s="82">
        <v>60</v>
      </c>
      <c r="G48" s="86">
        <v>50</v>
      </c>
      <c r="H48" s="18">
        <v>51</v>
      </c>
      <c r="I48" s="84">
        <v>27</v>
      </c>
      <c r="J48" s="20">
        <f>SUM(E48:I48)/5</f>
        <v>49</v>
      </c>
      <c r="K48" s="21">
        <f>((COUNTIF((E48:I48),"&lt;50"))+(COUNTIF((E48:I48),"=A")))</f>
        <v>1</v>
      </c>
      <c r="L48" s="22" t="str">
        <f>IF((K48&lt;1),"0","1")</f>
        <v>1</v>
      </c>
      <c r="M48" s="23">
        <f>COUNTIF((E48:I48),"=A")</f>
        <v>0</v>
      </c>
      <c r="N48" s="24">
        <v>98</v>
      </c>
      <c r="P48" s="85"/>
    </row>
    <row r="49" spans="1:16" ht="15.6">
      <c r="A49" s="11">
        <v>42</v>
      </c>
      <c r="B49" s="12">
        <v>111625201166</v>
      </c>
      <c r="C49" s="13" t="s">
        <v>199</v>
      </c>
      <c r="D49" s="14"/>
      <c r="E49" s="19">
        <v>67</v>
      </c>
      <c r="F49" s="82">
        <v>70</v>
      </c>
      <c r="G49" s="86">
        <v>57</v>
      </c>
      <c r="H49" s="18">
        <v>33</v>
      </c>
      <c r="I49" s="84">
        <v>87</v>
      </c>
      <c r="J49" s="20">
        <f>SUM(E49:I49)/5</f>
        <v>62.8</v>
      </c>
      <c r="K49" s="21">
        <f>((COUNTIF((E49:I49),"&lt;50"))+(COUNTIF((E49:I49),"=A")))</f>
        <v>1</v>
      </c>
      <c r="L49" s="22" t="str">
        <f>IF((K49&lt;1),"0","1")</f>
        <v>1</v>
      </c>
      <c r="M49" s="23">
        <f>COUNTIF((E49:I49),"=A")</f>
        <v>0</v>
      </c>
      <c r="N49" s="24">
        <v>100</v>
      </c>
      <c r="P49" s="85"/>
    </row>
    <row r="50" spans="1:16" ht="15.6">
      <c r="A50" s="11">
        <v>43</v>
      </c>
      <c r="B50" s="12">
        <v>111625201167</v>
      </c>
      <c r="C50" s="13" t="s">
        <v>200</v>
      </c>
      <c r="D50" s="14"/>
      <c r="E50" s="19">
        <v>97</v>
      </c>
      <c r="F50" s="82">
        <v>80</v>
      </c>
      <c r="G50" s="86">
        <v>87</v>
      </c>
      <c r="H50" s="18">
        <v>50</v>
      </c>
      <c r="I50" s="84">
        <v>73</v>
      </c>
      <c r="J50" s="20">
        <f>SUM(E50:I50)/5</f>
        <v>77.400000000000006</v>
      </c>
      <c r="K50" s="21">
        <f>((COUNTIF((E50:I50),"&lt;50"))+(COUNTIF((E50:I50),"=A")))</f>
        <v>0</v>
      </c>
      <c r="L50" s="22" t="str">
        <f>IF((K50&lt;1),"0","1")</f>
        <v>0</v>
      </c>
      <c r="M50" s="23">
        <f>COUNTIF((E50:I50),"=A")</f>
        <v>0</v>
      </c>
      <c r="N50" s="24">
        <v>98</v>
      </c>
      <c r="P50" s="85"/>
    </row>
    <row r="51" spans="1:16" ht="15.6">
      <c r="A51" s="11">
        <v>44</v>
      </c>
      <c r="B51" s="12">
        <v>111625201168</v>
      </c>
      <c r="C51" s="13" t="s">
        <v>201</v>
      </c>
      <c r="D51" s="14"/>
      <c r="E51" s="19">
        <v>70</v>
      </c>
      <c r="F51" s="82" t="s">
        <v>20</v>
      </c>
      <c r="G51" s="86">
        <v>33</v>
      </c>
      <c r="H51" s="18">
        <v>57</v>
      </c>
      <c r="I51" s="84">
        <v>93</v>
      </c>
      <c r="J51" s="20">
        <f>SUM(E51:I51)/5</f>
        <v>50.6</v>
      </c>
      <c r="K51" s="21">
        <f>((COUNTIF((E51:I51),"&lt;50"))+(COUNTIF((E51:I51),"=A")))</f>
        <v>2</v>
      </c>
      <c r="L51" s="22" t="str">
        <f>IF((K51&lt;1),"0","1")</f>
        <v>1</v>
      </c>
      <c r="M51" s="23">
        <f>COUNTIF((E51:I51),"=A")</f>
        <v>1</v>
      </c>
      <c r="N51" s="24">
        <v>94</v>
      </c>
      <c r="P51" s="85"/>
    </row>
    <row r="52" spans="1:16" ht="15.6">
      <c r="A52" s="11">
        <v>45</v>
      </c>
      <c r="B52" s="12">
        <v>111625201169</v>
      </c>
      <c r="C52" s="13" t="s">
        <v>202</v>
      </c>
      <c r="D52" s="14"/>
      <c r="E52" s="19">
        <v>93</v>
      </c>
      <c r="F52" s="82">
        <v>76.666666666666671</v>
      </c>
      <c r="G52" s="86">
        <v>53</v>
      </c>
      <c r="H52" s="18">
        <v>50</v>
      </c>
      <c r="I52" s="84">
        <v>50</v>
      </c>
      <c r="J52" s="20">
        <f>SUM(E52:I52)/5</f>
        <v>64.533333333333331</v>
      </c>
      <c r="K52" s="21">
        <f>((COUNTIF((E52:I52),"&lt;50"))+(COUNTIF((E52:I52),"=A")))</f>
        <v>0</v>
      </c>
      <c r="L52" s="22" t="str">
        <f>IF((K52&lt;1),"0","1")</f>
        <v>0</v>
      </c>
      <c r="M52" s="23">
        <f>COUNTIF((E52:I52),"=A")</f>
        <v>0</v>
      </c>
      <c r="N52" s="24">
        <v>96</v>
      </c>
      <c r="P52" s="85"/>
    </row>
    <row r="53" spans="1:16" ht="15.6">
      <c r="A53" s="11">
        <v>46</v>
      </c>
      <c r="B53" s="12">
        <v>111625201170</v>
      </c>
      <c r="C53" s="13" t="s">
        <v>203</v>
      </c>
      <c r="D53" s="14"/>
      <c r="E53" s="19">
        <v>53</v>
      </c>
      <c r="F53" s="82">
        <v>50</v>
      </c>
      <c r="G53" s="86">
        <v>63</v>
      </c>
      <c r="H53" s="18" t="s">
        <v>20</v>
      </c>
      <c r="I53" s="84">
        <v>20</v>
      </c>
      <c r="J53" s="20">
        <f>SUM(E53:I53)/5</f>
        <v>37.200000000000003</v>
      </c>
      <c r="K53" s="21">
        <f>((COUNTIF((E53:I53),"&lt;50"))+(COUNTIF((E53:I53),"=A")))</f>
        <v>2</v>
      </c>
      <c r="L53" s="22" t="str">
        <f>IF((K53&lt;1),"0","1")</f>
        <v>1</v>
      </c>
      <c r="M53" s="23">
        <f>COUNTIF((E53:I53),"=A")</f>
        <v>1</v>
      </c>
      <c r="N53" s="24">
        <v>87</v>
      </c>
      <c r="P53" s="85"/>
    </row>
    <row r="54" spans="1:16" ht="15.6">
      <c r="A54" s="11">
        <v>47</v>
      </c>
      <c r="B54" s="12">
        <v>111625201171</v>
      </c>
      <c r="C54" s="13" t="s">
        <v>204</v>
      </c>
      <c r="D54" s="14"/>
      <c r="E54" s="19">
        <v>63</v>
      </c>
      <c r="F54" s="82">
        <v>73.333333333333329</v>
      </c>
      <c r="G54" s="86">
        <v>67</v>
      </c>
      <c r="H54" s="18">
        <v>57</v>
      </c>
      <c r="I54" s="84">
        <v>80</v>
      </c>
      <c r="J54" s="20">
        <f>SUM(E54:I54)/5</f>
        <v>68.066666666666663</v>
      </c>
      <c r="K54" s="21">
        <f>((COUNTIF((E54:I54),"&lt;50"))+(COUNTIF((E54:I54),"=A")))</f>
        <v>0</v>
      </c>
      <c r="L54" s="22" t="str">
        <f>IF((K54&lt;1),"0","1")</f>
        <v>0</v>
      </c>
      <c r="M54" s="23">
        <f>COUNTIF((E54:I54),"=A")</f>
        <v>0</v>
      </c>
      <c r="N54" s="24">
        <v>94</v>
      </c>
      <c r="P54" s="85"/>
    </row>
    <row r="55" spans="1:16" ht="15.6">
      <c r="A55" s="11">
        <v>48</v>
      </c>
      <c r="B55" s="12">
        <v>111625201172</v>
      </c>
      <c r="C55" s="13" t="s">
        <v>205</v>
      </c>
      <c r="D55" s="14"/>
      <c r="E55" s="19">
        <v>93</v>
      </c>
      <c r="F55" s="82">
        <v>80</v>
      </c>
      <c r="G55" s="86">
        <v>73</v>
      </c>
      <c r="H55" s="18">
        <v>57</v>
      </c>
      <c r="I55" s="84">
        <v>97</v>
      </c>
      <c r="J55" s="20">
        <f>SUM(E55:I55)/5</f>
        <v>80</v>
      </c>
      <c r="K55" s="21">
        <f>((COUNTIF((E55:I55),"&lt;50"))+(COUNTIF((E55:I55),"=A")))</f>
        <v>0</v>
      </c>
      <c r="L55" s="22" t="str">
        <f>IF((K55&lt;1),"0","1")</f>
        <v>0</v>
      </c>
      <c r="M55" s="23">
        <f>COUNTIF((E55:I55),"=A")</f>
        <v>0</v>
      </c>
      <c r="N55" s="24">
        <v>100</v>
      </c>
      <c r="P55" s="85"/>
    </row>
    <row r="56" spans="1:16" ht="15.6">
      <c r="A56" s="11">
        <v>49</v>
      </c>
      <c r="B56" s="12">
        <v>111625201173</v>
      </c>
      <c r="C56" s="13" t="s">
        <v>206</v>
      </c>
      <c r="D56" s="14"/>
      <c r="E56" s="19">
        <v>80</v>
      </c>
      <c r="F56" s="82">
        <v>56.666666666666664</v>
      </c>
      <c r="G56" s="86">
        <v>70</v>
      </c>
      <c r="H56" s="18">
        <v>63</v>
      </c>
      <c r="I56" s="84">
        <v>53</v>
      </c>
      <c r="J56" s="20">
        <f>SUM(E56:I56)/5</f>
        <v>64.533333333333331</v>
      </c>
      <c r="K56" s="21">
        <f>((COUNTIF((E56:I56),"&lt;50"))+(COUNTIF((E56:I56),"=A")))</f>
        <v>0</v>
      </c>
      <c r="L56" s="22" t="str">
        <f>IF((K56&lt;1),"0","1")</f>
        <v>0</v>
      </c>
      <c r="M56" s="23">
        <f>COUNTIF((E56:I56),"=A")</f>
        <v>0</v>
      </c>
      <c r="N56" s="24">
        <v>98</v>
      </c>
      <c r="P56" s="85"/>
    </row>
    <row r="57" spans="1:16" ht="15.6">
      <c r="A57" s="11">
        <v>50</v>
      </c>
      <c r="B57" s="12">
        <v>111625201174</v>
      </c>
      <c r="C57" s="13" t="s">
        <v>207</v>
      </c>
      <c r="D57" s="14"/>
      <c r="E57" s="19">
        <v>57</v>
      </c>
      <c r="F57" s="82">
        <v>50</v>
      </c>
      <c r="G57" s="86">
        <v>27</v>
      </c>
      <c r="H57" s="18">
        <v>27</v>
      </c>
      <c r="I57" s="84">
        <v>53</v>
      </c>
      <c r="J57" s="20">
        <f>SUM(E57:I57)/5</f>
        <v>42.8</v>
      </c>
      <c r="K57" s="21">
        <f>((COUNTIF((E57:I57),"&lt;50"))+(COUNTIF((E57:I57),"=A")))</f>
        <v>2</v>
      </c>
      <c r="L57" s="22" t="str">
        <f>IF((K57&lt;1),"0","1")</f>
        <v>1</v>
      </c>
      <c r="M57" s="23">
        <f>COUNTIF((E57:I57),"=A")</f>
        <v>0</v>
      </c>
      <c r="N57" s="24">
        <v>100</v>
      </c>
      <c r="P57" s="85"/>
    </row>
    <row r="58" spans="1:16" ht="15.6">
      <c r="A58" s="11">
        <v>51</v>
      </c>
      <c r="B58" s="12">
        <v>111625201175</v>
      </c>
      <c r="C58" s="13" t="s">
        <v>208</v>
      </c>
      <c r="D58" s="14"/>
      <c r="E58" s="19">
        <v>50</v>
      </c>
      <c r="F58" s="82">
        <v>43.333333333333336</v>
      </c>
      <c r="G58" s="86">
        <v>43</v>
      </c>
      <c r="H58" s="18">
        <v>27</v>
      </c>
      <c r="I58" s="84">
        <v>63</v>
      </c>
      <c r="J58" s="20">
        <f>SUM(E58:I58)/5</f>
        <v>45.266666666666666</v>
      </c>
      <c r="K58" s="21">
        <f>((COUNTIF((E58:I58),"&lt;50"))+(COUNTIF((E58:I58),"=A")))</f>
        <v>3</v>
      </c>
      <c r="L58" s="22" t="str">
        <f>IF((K58&lt;1),"0","1")</f>
        <v>1</v>
      </c>
      <c r="M58" s="23">
        <f>COUNTIF((E58:I58),"=A")</f>
        <v>0</v>
      </c>
      <c r="N58" s="24">
        <v>100</v>
      </c>
      <c r="P58" s="85"/>
    </row>
    <row r="59" spans="1:16" ht="15.6">
      <c r="A59" s="11">
        <v>52</v>
      </c>
      <c r="B59" s="12">
        <v>111625201176</v>
      </c>
      <c r="C59" s="13" t="s">
        <v>209</v>
      </c>
      <c r="D59" s="14"/>
      <c r="E59" s="19">
        <v>77</v>
      </c>
      <c r="F59" s="82">
        <v>90</v>
      </c>
      <c r="G59" s="86">
        <v>73</v>
      </c>
      <c r="H59" s="18">
        <v>67</v>
      </c>
      <c r="I59" s="84">
        <v>77</v>
      </c>
      <c r="J59" s="20">
        <f>SUM(E59:I59)/5</f>
        <v>76.8</v>
      </c>
      <c r="K59" s="21">
        <f>((COUNTIF((E59:I59),"&lt;50"))+(COUNTIF((E59:I59),"=A")))</f>
        <v>0</v>
      </c>
      <c r="L59" s="22" t="str">
        <f>IF((K59&lt;1),"0","1")</f>
        <v>0</v>
      </c>
      <c r="M59" s="23">
        <f>COUNTIF((E59:I59),"=A")</f>
        <v>0</v>
      </c>
      <c r="N59" s="24">
        <v>100</v>
      </c>
      <c r="P59" s="85"/>
    </row>
    <row r="60" spans="1:16" ht="15.6">
      <c r="A60" s="11">
        <v>53</v>
      </c>
      <c r="B60" s="12">
        <v>111625201177</v>
      </c>
      <c r="C60" s="13" t="s">
        <v>210</v>
      </c>
      <c r="D60" s="14"/>
      <c r="E60" s="19">
        <v>67</v>
      </c>
      <c r="F60" s="82">
        <v>80</v>
      </c>
      <c r="G60" s="86">
        <v>80</v>
      </c>
      <c r="H60" s="18" t="s">
        <v>20</v>
      </c>
      <c r="I60" s="84">
        <v>63</v>
      </c>
      <c r="J60" s="20">
        <f>SUM(E60:I60)/5</f>
        <v>58</v>
      </c>
      <c r="K60" s="21">
        <f>((COUNTIF((E60:I60),"&lt;50"))+(COUNTIF((E60:I60),"=A")))</f>
        <v>1</v>
      </c>
      <c r="L60" s="22" t="str">
        <f>IF((K60&lt;1),"0","1")</f>
        <v>1</v>
      </c>
      <c r="M60" s="23">
        <f>COUNTIF((E60:I60),"=A")</f>
        <v>1</v>
      </c>
      <c r="N60" s="24">
        <v>94</v>
      </c>
      <c r="P60" s="85"/>
    </row>
    <row r="61" spans="1:16" ht="15.6">
      <c r="A61" s="11">
        <v>54</v>
      </c>
      <c r="B61" s="12">
        <v>111625201178</v>
      </c>
      <c r="C61" s="13" t="s">
        <v>211</v>
      </c>
      <c r="D61" s="14"/>
      <c r="E61" s="19">
        <v>50</v>
      </c>
      <c r="F61" s="82">
        <v>66.666666666666657</v>
      </c>
      <c r="G61" s="86">
        <v>63</v>
      </c>
      <c r="H61" s="18">
        <v>57</v>
      </c>
      <c r="I61" s="84">
        <v>63</v>
      </c>
      <c r="J61" s="20">
        <f>SUM(E61:I61)/5</f>
        <v>59.933333333333323</v>
      </c>
      <c r="K61" s="21">
        <f>((COUNTIF((E61:I61),"&lt;50"))+(COUNTIF((E61:I61),"=A")))</f>
        <v>0</v>
      </c>
      <c r="L61" s="22" t="str">
        <f>IF((K61&lt;1),"0","1")</f>
        <v>0</v>
      </c>
      <c r="M61" s="23">
        <f>COUNTIF((E61:I61),"=A")</f>
        <v>0</v>
      </c>
      <c r="N61" s="24">
        <v>98</v>
      </c>
      <c r="P61" s="85"/>
    </row>
    <row r="62" spans="1:16" ht="15.6">
      <c r="A62" s="11">
        <v>55</v>
      </c>
      <c r="B62" s="12">
        <v>111625201179</v>
      </c>
      <c r="C62" s="13" t="s">
        <v>212</v>
      </c>
      <c r="D62" s="14"/>
      <c r="E62" s="19">
        <v>77</v>
      </c>
      <c r="F62" s="82">
        <v>80</v>
      </c>
      <c r="G62" s="86">
        <v>53</v>
      </c>
      <c r="H62" s="18" t="s">
        <v>20</v>
      </c>
      <c r="I62" s="84">
        <v>70</v>
      </c>
      <c r="J62" s="20">
        <f>SUM(E62:I62)/5</f>
        <v>56</v>
      </c>
      <c r="K62" s="21">
        <f>((COUNTIF((E62:I62),"&lt;50"))+(COUNTIF((E62:I62),"=A")))</f>
        <v>1</v>
      </c>
      <c r="L62" s="22" t="str">
        <f>IF((K62&lt;1),"0","1")</f>
        <v>1</v>
      </c>
      <c r="M62" s="23">
        <f>COUNTIF((E62:I62),"=A")</f>
        <v>1</v>
      </c>
      <c r="N62" s="24">
        <v>89</v>
      </c>
      <c r="P62" s="85"/>
    </row>
    <row r="63" spans="1:16" ht="15.6">
      <c r="A63" s="11">
        <v>56</v>
      </c>
      <c r="B63" s="12">
        <v>111625201180</v>
      </c>
      <c r="C63" s="13" t="s">
        <v>213</v>
      </c>
      <c r="D63" s="14"/>
      <c r="E63" s="19">
        <v>97</v>
      </c>
      <c r="F63" s="82">
        <v>90</v>
      </c>
      <c r="G63" s="86">
        <v>77</v>
      </c>
      <c r="H63" s="18">
        <v>77</v>
      </c>
      <c r="I63" s="84">
        <v>67</v>
      </c>
      <c r="J63" s="20">
        <f>SUM(E63:I63)/5</f>
        <v>81.599999999999994</v>
      </c>
      <c r="K63" s="21">
        <f>((COUNTIF((E63:I63),"&lt;50"))+(COUNTIF((E63:I63),"=A")))</f>
        <v>0</v>
      </c>
      <c r="L63" s="22" t="str">
        <f>IF((K63&lt;1),"0","1")</f>
        <v>0</v>
      </c>
      <c r="M63" s="23">
        <f>COUNTIF((E63:I63),"=A")</f>
        <v>0</v>
      </c>
      <c r="N63" s="24">
        <v>100</v>
      </c>
      <c r="P63" s="85"/>
    </row>
    <row r="64" spans="1:16" ht="15.6">
      <c r="A64" s="11">
        <v>57</v>
      </c>
      <c r="B64" s="12">
        <v>111625201181</v>
      </c>
      <c r="C64" s="13" t="s">
        <v>214</v>
      </c>
      <c r="D64" s="14"/>
      <c r="E64" s="19">
        <v>17</v>
      </c>
      <c r="F64" s="82">
        <v>73.333333333333329</v>
      </c>
      <c r="G64" s="86">
        <v>77</v>
      </c>
      <c r="H64" s="18">
        <v>53</v>
      </c>
      <c r="I64" s="84">
        <v>83</v>
      </c>
      <c r="J64" s="20">
        <f>SUM(E64:I64)/5</f>
        <v>60.666666666666664</v>
      </c>
      <c r="K64" s="21">
        <f>((COUNTIF((E64:I64),"&lt;50"))+(COUNTIF((E64:I64),"=A")))</f>
        <v>1</v>
      </c>
      <c r="L64" s="22" t="str">
        <f>IF((K64&lt;1),"0","1")</f>
        <v>1</v>
      </c>
      <c r="M64" s="23">
        <f>COUNTIF((E64:I64),"=A")</f>
        <v>0</v>
      </c>
      <c r="N64" s="24">
        <v>94</v>
      </c>
      <c r="P64" s="85"/>
    </row>
    <row r="65" spans="1:16" ht="15.6">
      <c r="A65" s="11">
        <v>58</v>
      </c>
      <c r="B65" s="12">
        <v>111625201182</v>
      </c>
      <c r="C65" s="13" t="s">
        <v>215</v>
      </c>
      <c r="D65" s="14"/>
      <c r="E65" s="19">
        <v>57</v>
      </c>
      <c r="F65" s="82">
        <v>30</v>
      </c>
      <c r="G65" s="86">
        <v>50</v>
      </c>
      <c r="H65" s="18">
        <v>57</v>
      </c>
      <c r="I65" s="84">
        <v>80</v>
      </c>
      <c r="J65" s="20">
        <f>SUM(E65:I65)/5</f>
        <v>54.8</v>
      </c>
      <c r="K65" s="21">
        <f>((COUNTIF((E65:I65),"&lt;50"))+(COUNTIF((E65:I65),"=A")))</f>
        <v>1</v>
      </c>
      <c r="L65" s="22" t="str">
        <f>IF((K65&lt;1),"0","1")</f>
        <v>1</v>
      </c>
      <c r="M65" s="23">
        <f>COUNTIF((E65:I65),"=A")</f>
        <v>0</v>
      </c>
      <c r="N65" s="24">
        <v>100</v>
      </c>
      <c r="P65" s="85"/>
    </row>
    <row r="66" spans="1:16" ht="15.6">
      <c r="A66" s="11">
        <v>59</v>
      </c>
      <c r="B66" s="12">
        <v>111625201183</v>
      </c>
      <c r="C66" s="13" t="s">
        <v>216</v>
      </c>
      <c r="D66" s="14"/>
      <c r="E66" s="19">
        <v>50</v>
      </c>
      <c r="F66" s="82">
        <v>53.333333333333336</v>
      </c>
      <c r="G66" s="86">
        <v>43</v>
      </c>
      <c r="H66" s="18">
        <v>0</v>
      </c>
      <c r="I66" s="84">
        <v>37</v>
      </c>
      <c r="J66" s="20">
        <f>SUM(E66:I66)/5</f>
        <v>36.666666666666671</v>
      </c>
      <c r="K66" s="21">
        <f>((COUNTIF((E66:I66),"&lt;50"))+(COUNTIF((E66:I66),"=A")))</f>
        <v>3</v>
      </c>
      <c r="L66" s="22" t="str">
        <f>IF((K66&lt;1),"0","1")</f>
        <v>1</v>
      </c>
      <c r="M66" s="23">
        <f>COUNTIF((E66:I66),"=A")</f>
        <v>0</v>
      </c>
      <c r="N66" s="24">
        <v>100</v>
      </c>
      <c r="P66" s="85"/>
    </row>
    <row r="67" spans="1:16" ht="15.6">
      <c r="A67" s="11">
        <v>60</v>
      </c>
      <c r="B67" s="12">
        <v>111625201184</v>
      </c>
      <c r="C67" s="13" t="s">
        <v>217</v>
      </c>
      <c r="D67" s="14"/>
      <c r="E67" s="19">
        <v>73</v>
      </c>
      <c r="F67" s="82">
        <v>57</v>
      </c>
      <c r="G67" s="86">
        <v>53</v>
      </c>
      <c r="H67" s="18">
        <v>80</v>
      </c>
      <c r="I67" s="84">
        <v>83</v>
      </c>
      <c r="J67" s="20">
        <f>SUM(E67:I67)/5</f>
        <v>69.2</v>
      </c>
      <c r="K67" s="21">
        <f>((COUNTIF((E67:I67),"&lt;50"))+(COUNTIF((E67:I67),"=A")))</f>
        <v>0</v>
      </c>
      <c r="L67" s="22" t="str">
        <f>IF((K67&lt;1),"0","1")</f>
        <v>0</v>
      </c>
      <c r="M67" s="23">
        <f>COUNTIF((E67:I67),"=A")</f>
        <v>0</v>
      </c>
      <c r="N67" s="24">
        <v>96</v>
      </c>
      <c r="P67" s="85"/>
    </row>
    <row r="68" spans="1:16" ht="15.6">
      <c r="A68" s="11">
        <v>61</v>
      </c>
      <c r="B68" s="12">
        <v>111625201185</v>
      </c>
      <c r="C68" s="13" t="s">
        <v>218</v>
      </c>
      <c r="D68" s="14"/>
      <c r="E68" s="19">
        <v>27</v>
      </c>
      <c r="F68" s="82">
        <v>43</v>
      </c>
      <c r="G68" s="86">
        <v>50</v>
      </c>
      <c r="H68" s="88">
        <v>10</v>
      </c>
      <c r="I68" s="84">
        <v>53</v>
      </c>
      <c r="J68" s="20">
        <f>SUM(E68:I68)/5</f>
        <v>36.6</v>
      </c>
      <c r="K68" s="21">
        <f>((COUNTIF((E68:I68),"&lt;50"))+(COUNTIF((E68:I68),"=A")))</f>
        <v>3</v>
      </c>
      <c r="L68" s="22" t="str">
        <f>IF((K68&lt;1),"0","1")</f>
        <v>1</v>
      </c>
      <c r="M68" s="23">
        <f>COUNTIF((E68:I68),"=A")</f>
        <v>0</v>
      </c>
      <c r="N68" s="24">
        <v>91</v>
      </c>
      <c r="P68" s="85"/>
    </row>
    <row r="69" spans="1:16" ht="15.6">
      <c r="A69" s="11">
        <v>62</v>
      </c>
      <c r="B69" s="12">
        <v>111625201186</v>
      </c>
      <c r="C69" s="13" t="s">
        <v>219</v>
      </c>
      <c r="D69" s="14"/>
      <c r="E69" s="19">
        <v>50</v>
      </c>
      <c r="F69" s="82">
        <v>60</v>
      </c>
      <c r="G69" s="86">
        <v>23</v>
      </c>
      <c r="H69" s="88">
        <v>13</v>
      </c>
      <c r="I69" s="84">
        <v>50</v>
      </c>
      <c r="J69" s="20">
        <f>SUM(E69:I69)/5</f>
        <v>39.200000000000003</v>
      </c>
      <c r="K69" s="21">
        <f>((COUNTIF((E69:I69),"&lt;50"))+(COUNTIF((E69:I69),"=A")))</f>
        <v>2</v>
      </c>
      <c r="L69" s="22" t="str">
        <f>IF((K69&lt;1),"0","1")</f>
        <v>1</v>
      </c>
      <c r="M69" s="23">
        <f>COUNTIF((E69:I69),"=A")</f>
        <v>0</v>
      </c>
      <c r="N69" s="24">
        <v>94</v>
      </c>
      <c r="P69" s="85"/>
    </row>
    <row r="70" spans="1:16" ht="15.6">
      <c r="A70" s="22"/>
      <c r="B70" s="34"/>
      <c r="C70" s="121" t="s">
        <v>81</v>
      </c>
      <c r="D70" s="36"/>
      <c r="E70" s="37">
        <f>COUNT(A8:A69)</f>
        <v>62</v>
      </c>
      <c r="F70" s="37">
        <f>COUNT(A8:A69)</f>
        <v>62</v>
      </c>
      <c r="G70" s="37">
        <f>COUNT(A8:A69)</f>
        <v>62</v>
      </c>
      <c r="H70" s="37">
        <f>COUNT(A8:A69)</f>
        <v>62</v>
      </c>
      <c r="I70" s="37">
        <f>COUNT(A8:A69)</f>
        <v>62</v>
      </c>
      <c r="J70" s="38"/>
      <c r="K70" s="33"/>
      <c r="L70" s="1"/>
      <c r="M70" s="1"/>
      <c r="N70" s="89"/>
    </row>
    <row r="71" spans="1:16" ht="15.6">
      <c r="A71" s="22"/>
      <c r="B71" s="34"/>
      <c r="C71" s="122" t="s">
        <v>82</v>
      </c>
      <c r="D71" s="40"/>
      <c r="E71" s="41">
        <f t="shared" ref="E71:I71" si="0">E70-E72</f>
        <v>61</v>
      </c>
      <c r="F71" s="41">
        <f t="shared" si="0"/>
        <v>60</v>
      </c>
      <c r="G71" s="41">
        <f t="shared" si="0"/>
        <v>60</v>
      </c>
      <c r="H71" s="41">
        <f t="shared" si="0"/>
        <v>55</v>
      </c>
      <c r="I71" s="41">
        <f t="shared" si="0"/>
        <v>61</v>
      </c>
      <c r="J71" s="38"/>
      <c r="K71" s="33"/>
      <c r="L71" s="1"/>
      <c r="M71" s="1"/>
      <c r="N71" s="1"/>
    </row>
    <row r="72" spans="1:16" ht="15.6">
      <c r="A72" s="22"/>
      <c r="B72" s="34"/>
      <c r="C72" s="123" t="s">
        <v>83</v>
      </c>
      <c r="D72" s="43"/>
      <c r="E72" s="44">
        <f>(COUNTIF((E8:E69),"=A"))</f>
        <v>1</v>
      </c>
      <c r="F72" s="44">
        <f>(COUNTIF((F8:F69),"=A"))</f>
        <v>2</v>
      </c>
      <c r="G72" s="44">
        <f>(COUNTIF((G8:G69),"=A"))</f>
        <v>2</v>
      </c>
      <c r="H72" s="44">
        <f>(COUNTIF((H8:H69),"=A"))</f>
        <v>7</v>
      </c>
      <c r="I72" s="44">
        <f>(COUNTIF((I8:I69),"=A"))</f>
        <v>1</v>
      </c>
      <c r="J72" s="38"/>
      <c r="K72" s="33"/>
      <c r="L72" s="1"/>
      <c r="M72" s="1"/>
      <c r="N72" s="1"/>
    </row>
    <row r="73" spans="1:16" ht="15.6">
      <c r="A73" s="22"/>
      <c r="B73" s="34"/>
      <c r="C73" s="124" t="s">
        <v>84</v>
      </c>
      <c r="D73" s="46"/>
      <c r="E73" s="47">
        <f t="shared" ref="E73:I73" si="1">E70-(E74+E72)</f>
        <v>56</v>
      </c>
      <c r="F73" s="47">
        <f t="shared" si="1"/>
        <v>55</v>
      </c>
      <c r="G73" s="47">
        <f t="shared" si="1"/>
        <v>50</v>
      </c>
      <c r="H73" s="47">
        <f t="shared" si="1"/>
        <v>40</v>
      </c>
      <c r="I73" s="47">
        <f t="shared" si="1"/>
        <v>53</v>
      </c>
      <c r="J73" s="38"/>
      <c r="K73" s="33"/>
      <c r="L73" s="1"/>
      <c r="M73" s="1"/>
      <c r="N73" s="1"/>
    </row>
    <row r="74" spans="1:16" ht="15.6">
      <c r="A74" s="22"/>
      <c r="B74" s="48"/>
      <c r="C74" s="125" t="s">
        <v>85</v>
      </c>
      <c r="D74" s="50"/>
      <c r="E74" s="51">
        <f>(COUNTIF((E8:E69),"&lt;50"))</f>
        <v>5</v>
      </c>
      <c r="F74" s="51">
        <f>COUNTIF((F8:F69),"&lt;50")</f>
        <v>5</v>
      </c>
      <c r="G74" s="51">
        <f>COUNTIF((G8:G69),"&lt;50")</f>
        <v>10</v>
      </c>
      <c r="H74" s="51">
        <f>COUNTIF((H8:H69),"&lt;50")</f>
        <v>15</v>
      </c>
      <c r="I74" s="51">
        <f>COUNTIF((I8:I69),"&lt;50")</f>
        <v>8</v>
      </c>
      <c r="J74" s="38"/>
      <c r="K74" s="33"/>
      <c r="L74" s="1"/>
      <c r="M74" s="1"/>
      <c r="N74" s="1"/>
    </row>
    <row r="75" spans="1:16" ht="15.6">
      <c r="A75" s="22"/>
      <c r="B75" s="48"/>
      <c r="C75" s="126" t="s">
        <v>86</v>
      </c>
      <c r="D75" s="53"/>
      <c r="E75" s="54">
        <f t="shared" ref="E75:I75" si="2">(E73/E71)*100</f>
        <v>91.803278688524586</v>
      </c>
      <c r="F75" s="54">
        <f t="shared" si="2"/>
        <v>91.666666666666657</v>
      </c>
      <c r="G75" s="54">
        <f t="shared" si="2"/>
        <v>83.333333333333343</v>
      </c>
      <c r="H75" s="54">
        <f t="shared" si="2"/>
        <v>72.727272727272734</v>
      </c>
      <c r="I75" s="54">
        <f t="shared" si="2"/>
        <v>86.885245901639337</v>
      </c>
      <c r="J75" s="55"/>
      <c r="K75" s="33"/>
      <c r="L75" s="1"/>
      <c r="M75" s="1"/>
      <c r="N75" s="1"/>
    </row>
    <row r="76" spans="1:16" ht="15.6">
      <c r="A76" s="22"/>
      <c r="B76" s="48"/>
      <c r="C76" s="127" t="s">
        <v>87</v>
      </c>
      <c r="D76" s="57"/>
      <c r="E76" s="58">
        <f>COUNTIFS(K8:K69,"=1", E8:E69,"&lt;50")+COUNTIFS(K8:K69,"=1", E8:E69,"=A")</f>
        <v>2</v>
      </c>
      <c r="F76" s="58">
        <f>COUNTIFS(K8:K68,"=1", F8:F68,"&lt;50")+COUNTIFS(K8:K68,"=1", F8:F68,"=A")</f>
        <v>1</v>
      </c>
      <c r="G76" s="58">
        <f>COUNTIFS(K8:K68,"=1", G8:G68,"&lt;50")+COUNTIFS(K8:K68,"=1", G8:G68,"=A")</f>
        <v>0</v>
      </c>
      <c r="H76" s="58">
        <f>COUNTIFS(K8:K68,"=1", H8:H68,"&lt;50")+COUNTIFS(K8:K68,"=1", H8:H68,"=A")</f>
        <v>7</v>
      </c>
      <c r="I76" s="58">
        <f>COUNTIFS(K8:K68,"=1", I8:I68,"&lt;50")+COUNTIFS(K8:K68,"=1", I8:I68,"=A")</f>
        <v>3</v>
      </c>
      <c r="J76" s="38"/>
      <c r="K76" s="33"/>
      <c r="L76" s="1"/>
      <c r="M76" s="1"/>
      <c r="N76" s="1"/>
    </row>
    <row r="77" spans="1:16" ht="14.4">
      <c r="A77" s="22"/>
      <c r="B77" s="1"/>
      <c r="C77" s="59"/>
      <c r="D77" s="22"/>
      <c r="E77" s="60"/>
      <c r="F77" s="22"/>
      <c r="G77" s="61"/>
      <c r="H77" s="22"/>
      <c r="I77" s="61"/>
      <c r="J77" s="22"/>
      <c r="K77" s="33"/>
      <c r="L77" s="1"/>
      <c r="M77" s="1"/>
      <c r="N77" s="1"/>
    </row>
    <row r="78" spans="1:16" ht="18">
      <c r="A78" s="22"/>
      <c r="B78" s="48"/>
      <c r="C78" s="128" t="s">
        <v>88</v>
      </c>
      <c r="D78" s="63"/>
      <c r="E78" s="64">
        <f>COUNTIF((K8:K69),"=0")</f>
        <v>32</v>
      </c>
      <c r="F78" s="55"/>
      <c r="G78" s="61"/>
      <c r="H78" s="22"/>
      <c r="I78" s="61"/>
      <c r="J78" s="22"/>
      <c r="K78" s="33"/>
      <c r="L78" s="1"/>
      <c r="M78" s="1"/>
      <c r="N78" s="1"/>
    </row>
    <row r="79" spans="1:16" ht="18">
      <c r="A79" s="22"/>
      <c r="B79" s="48"/>
      <c r="C79" s="128" t="s">
        <v>89</v>
      </c>
      <c r="D79" s="63"/>
      <c r="E79" s="64">
        <f>(COUNTIF((K8:K69),"&gt;0"))</f>
        <v>30</v>
      </c>
      <c r="F79" s="1"/>
      <c r="G79" s="61"/>
      <c r="H79" s="22"/>
      <c r="I79" s="61"/>
      <c r="J79" s="22"/>
      <c r="K79" s="33"/>
      <c r="L79" s="1"/>
      <c r="M79" s="1"/>
      <c r="N79" s="1"/>
    </row>
    <row r="80" spans="1:16" ht="18">
      <c r="A80" s="22"/>
      <c r="B80" s="48"/>
      <c r="C80" s="128" t="s">
        <v>90</v>
      </c>
      <c r="D80" s="63"/>
      <c r="E80" s="64">
        <f>(COUNTIF((M8:M69),"=5"))</f>
        <v>0</v>
      </c>
      <c r="F80" s="1"/>
      <c r="G80" s="61"/>
      <c r="H80" s="22"/>
      <c r="I80" s="61"/>
      <c r="J80" s="22"/>
      <c r="K80" s="33"/>
      <c r="L80" s="1"/>
      <c r="M80" s="1"/>
      <c r="N80" s="1"/>
    </row>
    <row r="81" spans="1:14" ht="18">
      <c r="A81" s="22"/>
      <c r="B81" s="48"/>
      <c r="C81" s="128" t="s">
        <v>91</v>
      </c>
      <c r="D81" s="65"/>
      <c r="E81" s="64">
        <f>COUNT(A8:A69)-E80</f>
        <v>62</v>
      </c>
      <c r="F81" s="1"/>
      <c r="G81" s="61"/>
      <c r="H81" s="22"/>
      <c r="I81" s="61"/>
      <c r="J81" s="22"/>
      <c r="K81" s="33"/>
      <c r="L81" s="1"/>
      <c r="M81" s="1"/>
      <c r="N81" s="1"/>
    </row>
    <row r="82" spans="1:14" ht="18">
      <c r="A82" s="22"/>
      <c r="B82" s="48"/>
      <c r="C82" s="128" t="s">
        <v>92</v>
      </c>
      <c r="D82" s="65"/>
      <c r="E82" s="66">
        <f>(E78/E81)*100</f>
        <v>51.612903225806448</v>
      </c>
      <c r="F82" s="1"/>
      <c r="G82" s="61"/>
      <c r="H82" s="22"/>
      <c r="I82" s="61"/>
      <c r="J82" s="22"/>
      <c r="K82" s="33"/>
      <c r="L82" s="1"/>
      <c r="M82" s="1"/>
      <c r="N82" s="1"/>
    </row>
    <row r="83" spans="1:14" ht="4.5" customHeight="1">
      <c r="E83" s="69"/>
      <c r="G83" s="69"/>
      <c r="I83" s="69"/>
    </row>
    <row r="84" spans="1:14" ht="13.2">
      <c r="E84" s="69"/>
      <c r="G84" s="69"/>
      <c r="I84" s="69"/>
    </row>
    <row r="85" spans="1:14" ht="13.2">
      <c r="E85" s="69"/>
      <c r="G85" s="69"/>
      <c r="I85" s="69"/>
    </row>
    <row r="86" spans="1:14" ht="13.2">
      <c r="E86" s="69"/>
      <c r="G86" s="69"/>
      <c r="I86" s="69"/>
    </row>
    <row r="87" spans="1:14" ht="13.2">
      <c r="E87" s="69"/>
      <c r="G87" s="69"/>
      <c r="I87" s="69"/>
    </row>
    <row r="88" spans="1:14" ht="13.2">
      <c r="E88" s="69"/>
      <c r="G88" s="69"/>
      <c r="I88" s="69"/>
    </row>
    <row r="89" spans="1:14" ht="13.2">
      <c r="E89" s="69"/>
      <c r="G89" s="69"/>
      <c r="I89" s="69"/>
    </row>
    <row r="90" spans="1:14" ht="13.2">
      <c r="E90" s="69"/>
      <c r="G90" s="69"/>
      <c r="I90" s="69"/>
    </row>
    <row r="91" spans="1:14" ht="13.2">
      <c r="E91" s="69"/>
      <c r="G91" s="69"/>
      <c r="I91" s="69"/>
    </row>
    <row r="92" spans="1:14" ht="13.2">
      <c r="E92" s="69"/>
      <c r="G92" s="69"/>
      <c r="I92" s="69"/>
    </row>
    <row r="93" spans="1:14" ht="13.2">
      <c r="E93" s="69"/>
      <c r="G93" s="69"/>
      <c r="I93" s="69"/>
    </row>
    <row r="94" spans="1:14" ht="13.2">
      <c r="E94" s="69"/>
      <c r="G94" s="69"/>
      <c r="I94" s="69"/>
    </row>
    <row r="95" spans="1:14" ht="13.2">
      <c r="E95" s="69"/>
      <c r="G95" s="69"/>
      <c r="I95" s="69"/>
    </row>
    <row r="96" spans="1:14" ht="13.2">
      <c r="E96" s="69"/>
      <c r="G96" s="69"/>
      <c r="I96" s="69"/>
    </row>
    <row r="97" spans="5:9" ht="13.2">
      <c r="E97" s="69"/>
      <c r="G97" s="69"/>
      <c r="I97" s="69"/>
    </row>
    <row r="98" spans="5:9" ht="13.2">
      <c r="E98" s="69"/>
      <c r="G98" s="69"/>
      <c r="I98" s="69"/>
    </row>
    <row r="99" spans="5:9" ht="13.2">
      <c r="E99" s="69"/>
      <c r="G99" s="69"/>
      <c r="I99" s="69"/>
    </row>
    <row r="100" spans="5:9" ht="13.2">
      <c r="E100" s="69"/>
      <c r="G100" s="69"/>
      <c r="I100" s="69"/>
    </row>
    <row r="101" spans="5:9" ht="13.2">
      <c r="E101" s="69"/>
      <c r="G101" s="69"/>
      <c r="I101" s="69"/>
    </row>
    <row r="102" spans="5:9" ht="13.2">
      <c r="E102" s="69"/>
      <c r="G102" s="69"/>
      <c r="I102" s="69"/>
    </row>
    <row r="103" spans="5:9" ht="13.2">
      <c r="E103" s="69"/>
      <c r="G103" s="69"/>
      <c r="I103" s="69"/>
    </row>
    <row r="104" spans="5:9" ht="13.2">
      <c r="E104" s="69"/>
      <c r="G104" s="69"/>
      <c r="I104" s="69"/>
    </row>
    <row r="105" spans="5:9" ht="13.2">
      <c r="E105" s="69"/>
      <c r="G105" s="69"/>
      <c r="I105" s="69"/>
    </row>
    <row r="106" spans="5:9" ht="13.2">
      <c r="E106" s="69"/>
      <c r="G106" s="69"/>
      <c r="I106" s="69"/>
    </row>
    <row r="107" spans="5:9" ht="13.2">
      <c r="E107" s="69"/>
      <c r="G107" s="69"/>
      <c r="I107" s="69"/>
    </row>
    <row r="108" spans="5:9" ht="13.2">
      <c r="E108" s="69"/>
      <c r="G108" s="69"/>
      <c r="I108" s="69"/>
    </row>
    <row r="109" spans="5:9" ht="13.2">
      <c r="E109" s="69"/>
      <c r="G109" s="69"/>
      <c r="I109" s="69"/>
    </row>
    <row r="110" spans="5:9" ht="13.2">
      <c r="E110" s="69"/>
      <c r="G110" s="69"/>
      <c r="I110" s="69"/>
    </row>
    <row r="111" spans="5:9" ht="13.2">
      <c r="E111" s="69"/>
      <c r="G111" s="69"/>
      <c r="I111" s="69"/>
    </row>
    <row r="112" spans="5:9" ht="13.2">
      <c r="E112" s="69"/>
      <c r="G112" s="69"/>
      <c r="I112" s="69"/>
    </row>
    <row r="113" spans="5:9" ht="13.2">
      <c r="E113" s="69"/>
      <c r="G113" s="69"/>
      <c r="I113" s="69"/>
    </row>
    <row r="114" spans="5:9" ht="13.2">
      <c r="E114" s="69"/>
      <c r="G114" s="69"/>
      <c r="I114" s="69"/>
    </row>
    <row r="115" spans="5:9" ht="13.2">
      <c r="E115" s="69"/>
      <c r="G115" s="69"/>
      <c r="I115" s="69"/>
    </row>
    <row r="116" spans="5:9" ht="13.2">
      <c r="E116" s="69"/>
      <c r="G116" s="69"/>
      <c r="I116" s="69"/>
    </row>
    <row r="117" spans="5:9" ht="13.2">
      <c r="E117" s="69"/>
      <c r="G117" s="69"/>
      <c r="I117" s="69"/>
    </row>
    <row r="118" spans="5:9" ht="13.2">
      <c r="E118" s="69"/>
      <c r="G118" s="69"/>
      <c r="I118" s="69"/>
    </row>
    <row r="119" spans="5:9" ht="13.2">
      <c r="E119" s="69"/>
      <c r="G119" s="69"/>
      <c r="I119" s="69"/>
    </row>
    <row r="120" spans="5:9" ht="13.2">
      <c r="E120" s="69"/>
      <c r="G120" s="69"/>
      <c r="I120" s="69"/>
    </row>
    <row r="121" spans="5:9" ht="13.2">
      <c r="E121" s="69"/>
      <c r="G121" s="69"/>
      <c r="I121" s="69"/>
    </row>
    <row r="122" spans="5:9" ht="13.2">
      <c r="E122" s="69"/>
      <c r="G122" s="69"/>
      <c r="I122" s="69"/>
    </row>
    <row r="123" spans="5:9" ht="13.2">
      <c r="E123" s="69"/>
      <c r="G123" s="69"/>
      <c r="I123" s="69"/>
    </row>
    <row r="124" spans="5:9" ht="13.2">
      <c r="E124" s="69"/>
      <c r="G124" s="69"/>
      <c r="I124" s="69"/>
    </row>
    <row r="125" spans="5:9" ht="13.2">
      <c r="E125" s="69"/>
      <c r="G125" s="69"/>
      <c r="I125" s="69"/>
    </row>
    <row r="126" spans="5:9" ht="13.2">
      <c r="E126" s="69"/>
      <c r="G126" s="69"/>
      <c r="I126" s="69"/>
    </row>
    <row r="127" spans="5:9" ht="13.2">
      <c r="E127" s="69"/>
      <c r="G127" s="69"/>
      <c r="I127" s="69"/>
    </row>
    <row r="128" spans="5:9" ht="13.2">
      <c r="E128" s="69"/>
      <c r="G128" s="69"/>
      <c r="I128" s="69"/>
    </row>
    <row r="129" spans="5:9" ht="13.2">
      <c r="E129" s="69"/>
      <c r="G129" s="69"/>
      <c r="I129" s="69"/>
    </row>
    <row r="130" spans="5:9" ht="13.2">
      <c r="E130" s="69"/>
      <c r="G130" s="69"/>
      <c r="I130" s="69"/>
    </row>
    <row r="131" spans="5:9" ht="13.2">
      <c r="E131" s="69"/>
      <c r="G131" s="69"/>
      <c r="I131" s="69"/>
    </row>
    <row r="132" spans="5:9" ht="13.2">
      <c r="E132" s="69"/>
      <c r="G132" s="69"/>
      <c r="I132" s="69"/>
    </row>
    <row r="133" spans="5:9" ht="13.2">
      <c r="E133" s="69"/>
      <c r="G133" s="69"/>
      <c r="I133" s="69"/>
    </row>
    <row r="134" spans="5:9" ht="13.2">
      <c r="E134" s="69"/>
      <c r="G134" s="69"/>
      <c r="I134" s="69"/>
    </row>
    <row r="135" spans="5:9" ht="13.2">
      <c r="E135" s="69"/>
      <c r="G135" s="69"/>
      <c r="I135" s="69"/>
    </row>
    <row r="136" spans="5:9" ht="13.2">
      <c r="E136" s="69"/>
      <c r="G136" s="69"/>
      <c r="I136" s="69"/>
    </row>
    <row r="137" spans="5:9" ht="13.2">
      <c r="E137" s="69"/>
      <c r="G137" s="69"/>
      <c r="I137" s="69"/>
    </row>
    <row r="138" spans="5:9" ht="13.2">
      <c r="E138" s="69"/>
      <c r="G138" s="69"/>
      <c r="I138" s="69"/>
    </row>
    <row r="139" spans="5:9" ht="13.2">
      <c r="E139" s="69"/>
      <c r="G139" s="69"/>
      <c r="I139" s="69"/>
    </row>
    <row r="140" spans="5:9" ht="13.2">
      <c r="E140" s="69"/>
      <c r="G140" s="69"/>
      <c r="I140" s="69"/>
    </row>
    <row r="141" spans="5:9" ht="13.2">
      <c r="E141" s="69"/>
      <c r="G141" s="69"/>
      <c r="I141" s="69"/>
    </row>
    <row r="142" spans="5:9" ht="13.2">
      <c r="E142" s="69"/>
      <c r="G142" s="69"/>
      <c r="I142" s="69"/>
    </row>
    <row r="143" spans="5:9" ht="13.2">
      <c r="E143" s="69"/>
      <c r="G143" s="69"/>
      <c r="I143" s="69"/>
    </row>
    <row r="144" spans="5:9" ht="13.2">
      <c r="E144" s="69"/>
      <c r="G144" s="69"/>
      <c r="I144" s="69"/>
    </row>
    <row r="145" spans="5:9" ht="13.2">
      <c r="E145" s="69"/>
      <c r="G145" s="69"/>
      <c r="I145" s="69"/>
    </row>
    <row r="146" spans="5:9" ht="13.2">
      <c r="E146" s="69"/>
      <c r="G146" s="69"/>
      <c r="I146" s="69"/>
    </row>
    <row r="147" spans="5:9" ht="13.2">
      <c r="E147" s="69"/>
      <c r="G147" s="69"/>
      <c r="I147" s="69"/>
    </row>
    <row r="148" spans="5:9" ht="13.2">
      <c r="E148" s="69"/>
      <c r="G148" s="69"/>
      <c r="I148" s="69"/>
    </row>
    <row r="149" spans="5:9" ht="13.2">
      <c r="E149" s="69"/>
      <c r="G149" s="69"/>
      <c r="I149" s="69"/>
    </row>
    <row r="150" spans="5:9" ht="13.2">
      <c r="E150" s="69"/>
      <c r="G150" s="69"/>
      <c r="I150" s="69"/>
    </row>
    <row r="151" spans="5:9" ht="13.2">
      <c r="E151" s="69"/>
      <c r="G151" s="69"/>
      <c r="I151" s="69"/>
    </row>
    <row r="152" spans="5:9" ht="13.2">
      <c r="E152" s="69"/>
      <c r="G152" s="69"/>
      <c r="I152" s="69"/>
    </row>
    <row r="153" spans="5:9" ht="13.2">
      <c r="E153" s="69"/>
      <c r="G153" s="69"/>
      <c r="I153" s="69"/>
    </row>
    <row r="154" spans="5:9" ht="13.2">
      <c r="E154" s="69"/>
      <c r="G154" s="69"/>
      <c r="I154" s="69"/>
    </row>
    <row r="155" spans="5:9" ht="13.2">
      <c r="E155" s="69"/>
      <c r="G155" s="69"/>
      <c r="I155" s="69"/>
    </row>
    <row r="156" spans="5:9" ht="13.2">
      <c r="E156" s="69"/>
      <c r="G156" s="69"/>
      <c r="I156" s="69"/>
    </row>
    <row r="157" spans="5:9" ht="13.2">
      <c r="E157" s="69"/>
      <c r="G157" s="69"/>
      <c r="I157" s="69"/>
    </row>
    <row r="158" spans="5:9" ht="13.2">
      <c r="E158" s="69"/>
      <c r="G158" s="69"/>
      <c r="I158" s="69"/>
    </row>
    <row r="159" spans="5:9" ht="13.2">
      <c r="E159" s="69"/>
      <c r="G159" s="69"/>
      <c r="I159" s="69"/>
    </row>
    <row r="160" spans="5:9" ht="13.2">
      <c r="E160" s="69"/>
      <c r="G160" s="69"/>
      <c r="I160" s="69"/>
    </row>
    <row r="161" spans="5:9" ht="13.2">
      <c r="E161" s="69"/>
      <c r="G161" s="69"/>
      <c r="I161" s="69"/>
    </row>
    <row r="162" spans="5:9" ht="13.2">
      <c r="E162" s="69"/>
      <c r="G162" s="69"/>
      <c r="I162" s="69"/>
    </row>
    <row r="163" spans="5:9" ht="13.2">
      <c r="E163" s="69"/>
      <c r="G163" s="69"/>
      <c r="I163" s="69"/>
    </row>
    <row r="164" spans="5:9" ht="13.2">
      <c r="E164" s="69"/>
      <c r="G164" s="69"/>
      <c r="I164" s="69"/>
    </row>
    <row r="165" spans="5:9" ht="13.2">
      <c r="E165" s="69"/>
      <c r="G165" s="69"/>
      <c r="I165" s="69"/>
    </row>
    <row r="166" spans="5:9" ht="13.2">
      <c r="E166" s="69"/>
      <c r="G166" s="69"/>
      <c r="I166" s="69"/>
    </row>
    <row r="167" spans="5:9" ht="13.2">
      <c r="E167" s="69"/>
      <c r="G167" s="69"/>
      <c r="I167" s="69"/>
    </row>
    <row r="168" spans="5:9" ht="13.2">
      <c r="E168" s="69"/>
      <c r="G168" s="69"/>
      <c r="I168" s="69"/>
    </row>
    <row r="169" spans="5:9" ht="13.2">
      <c r="E169" s="69"/>
      <c r="G169" s="69"/>
      <c r="I169" s="69"/>
    </row>
    <row r="170" spans="5:9" ht="13.2">
      <c r="E170" s="69"/>
      <c r="G170" s="69"/>
      <c r="I170" s="69"/>
    </row>
    <row r="171" spans="5:9" ht="13.2">
      <c r="E171" s="69"/>
      <c r="G171" s="69"/>
      <c r="I171" s="69"/>
    </row>
    <row r="172" spans="5:9" ht="13.2">
      <c r="E172" s="69"/>
      <c r="G172" s="69"/>
      <c r="I172" s="69"/>
    </row>
    <row r="173" spans="5:9" ht="13.2">
      <c r="E173" s="69"/>
      <c r="G173" s="69"/>
      <c r="I173" s="69"/>
    </row>
    <row r="174" spans="5:9" ht="13.2">
      <c r="E174" s="69"/>
      <c r="G174" s="69"/>
      <c r="I174" s="69"/>
    </row>
    <row r="175" spans="5:9" ht="13.2">
      <c r="E175" s="69"/>
      <c r="G175" s="69"/>
      <c r="I175" s="69"/>
    </row>
    <row r="176" spans="5:9" ht="13.2">
      <c r="E176" s="69"/>
      <c r="G176" s="69"/>
      <c r="I176" s="69"/>
    </row>
    <row r="177" spans="5:9" ht="13.2">
      <c r="E177" s="69"/>
      <c r="G177" s="69"/>
      <c r="I177" s="69"/>
    </row>
    <row r="178" spans="5:9" ht="13.2">
      <c r="E178" s="69"/>
      <c r="G178" s="69"/>
      <c r="I178" s="69"/>
    </row>
    <row r="179" spans="5:9" ht="13.2">
      <c r="E179" s="69"/>
      <c r="G179" s="69"/>
      <c r="I179" s="69"/>
    </row>
    <row r="180" spans="5:9" ht="13.2">
      <c r="E180" s="69"/>
      <c r="G180" s="69"/>
      <c r="I180" s="69"/>
    </row>
    <row r="181" spans="5:9" ht="13.2">
      <c r="E181" s="69"/>
      <c r="G181" s="69"/>
      <c r="I181" s="69"/>
    </row>
    <row r="182" spans="5:9" ht="13.2">
      <c r="E182" s="69"/>
      <c r="G182" s="69"/>
      <c r="I182" s="69"/>
    </row>
    <row r="183" spans="5:9" ht="13.2">
      <c r="E183" s="69"/>
      <c r="G183" s="69"/>
      <c r="I183" s="69"/>
    </row>
    <row r="184" spans="5:9" ht="13.2">
      <c r="E184" s="69"/>
      <c r="G184" s="69"/>
      <c r="I184" s="69"/>
    </row>
    <row r="185" spans="5:9" ht="13.2">
      <c r="E185" s="69"/>
      <c r="G185" s="69"/>
      <c r="I185" s="69"/>
    </row>
    <row r="186" spans="5:9" ht="13.2">
      <c r="E186" s="69"/>
      <c r="G186" s="69"/>
      <c r="I186" s="69"/>
    </row>
    <row r="187" spans="5:9" ht="13.2">
      <c r="E187" s="69"/>
      <c r="G187" s="69"/>
      <c r="I187" s="69"/>
    </row>
    <row r="188" spans="5:9" ht="13.2">
      <c r="E188" s="69"/>
      <c r="G188" s="69"/>
      <c r="I188" s="69"/>
    </row>
    <row r="189" spans="5:9" ht="13.2">
      <c r="E189" s="69"/>
      <c r="G189" s="69"/>
      <c r="I189" s="69"/>
    </row>
    <row r="190" spans="5:9" ht="13.2">
      <c r="E190" s="69"/>
      <c r="G190" s="69"/>
      <c r="I190" s="69"/>
    </row>
    <row r="191" spans="5:9" ht="13.2">
      <c r="E191" s="69"/>
      <c r="G191" s="69"/>
      <c r="I191" s="69"/>
    </row>
    <row r="192" spans="5:9" ht="13.2">
      <c r="E192" s="69"/>
      <c r="G192" s="69"/>
      <c r="I192" s="69"/>
    </row>
    <row r="193" spans="5:9" ht="13.2">
      <c r="E193" s="69"/>
      <c r="G193" s="69"/>
      <c r="I193" s="69"/>
    </row>
    <row r="194" spans="5:9" ht="13.2">
      <c r="E194" s="69"/>
      <c r="G194" s="69"/>
      <c r="I194" s="69"/>
    </row>
    <row r="195" spans="5:9" ht="13.2">
      <c r="E195" s="69"/>
      <c r="G195" s="69"/>
      <c r="I195" s="69"/>
    </row>
    <row r="196" spans="5:9" ht="13.2">
      <c r="E196" s="69"/>
      <c r="G196" s="69"/>
      <c r="I196" s="69"/>
    </row>
    <row r="197" spans="5:9" ht="13.2">
      <c r="E197" s="69"/>
      <c r="G197" s="69"/>
      <c r="I197" s="69"/>
    </row>
    <row r="198" spans="5:9" ht="13.2">
      <c r="E198" s="69"/>
      <c r="G198" s="69"/>
      <c r="I198" s="69"/>
    </row>
    <row r="199" spans="5:9" ht="13.2">
      <c r="E199" s="69"/>
      <c r="G199" s="69"/>
      <c r="I199" s="69"/>
    </row>
    <row r="200" spans="5:9" ht="13.2">
      <c r="E200" s="69"/>
      <c r="G200" s="69"/>
      <c r="I200" s="69"/>
    </row>
    <row r="201" spans="5:9" ht="13.2">
      <c r="E201" s="69"/>
      <c r="G201" s="69"/>
      <c r="I201" s="69"/>
    </row>
    <row r="202" spans="5:9" ht="13.2">
      <c r="E202" s="69"/>
      <c r="G202" s="69"/>
      <c r="I202" s="69"/>
    </row>
    <row r="203" spans="5:9" ht="13.2">
      <c r="E203" s="69"/>
      <c r="G203" s="69"/>
      <c r="I203" s="69"/>
    </row>
    <row r="204" spans="5:9" ht="13.2">
      <c r="E204" s="69"/>
      <c r="G204" s="69"/>
      <c r="I204" s="69"/>
    </row>
    <row r="205" spans="5:9" ht="13.2">
      <c r="E205" s="69"/>
      <c r="G205" s="69"/>
      <c r="I205" s="69"/>
    </row>
    <row r="206" spans="5:9" ht="13.2">
      <c r="E206" s="69"/>
      <c r="G206" s="69"/>
      <c r="I206" s="69"/>
    </row>
    <row r="207" spans="5:9" ht="13.2">
      <c r="E207" s="69"/>
      <c r="G207" s="69"/>
      <c r="I207" s="69"/>
    </row>
    <row r="208" spans="5:9" ht="13.2">
      <c r="E208" s="69"/>
      <c r="G208" s="69"/>
      <c r="I208" s="69"/>
    </row>
    <row r="209" spans="5:9" ht="13.2">
      <c r="E209" s="69"/>
      <c r="G209" s="69"/>
      <c r="I209" s="69"/>
    </row>
    <row r="210" spans="5:9" ht="13.2">
      <c r="E210" s="69"/>
      <c r="G210" s="69"/>
      <c r="I210" s="69"/>
    </row>
    <row r="211" spans="5:9" ht="13.2">
      <c r="E211" s="69"/>
      <c r="G211" s="69"/>
      <c r="I211" s="69"/>
    </row>
    <row r="212" spans="5:9" ht="13.2">
      <c r="E212" s="69"/>
      <c r="G212" s="69"/>
      <c r="I212" s="69"/>
    </row>
    <row r="213" spans="5:9" ht="13.2">
      <c r="E213" s="69"/>
      <c r="G213" s="69"/>
      <c r="I213" s="69"/>
    </row>
    <row r="214" spans="5:9" ht="13.2">
      <c r="E214" s="69"/>
      <c r="G214" s="69"/>
      <c r="I214" s="69"/>
    </row>
    <row r="215" spans="5:9" ht="13.2">
      <c r="E215" s="69"/>
      <c r="G215" s="69"/>
      <c r="I215" s="69"/>
    </row>
    <row r="216" spans="5:9" ht="13.2">
      <c r="E216" s="69"/>
      <c r="G216" s="69"/>
      <c r="I216" s="69"/>
    </row>
    <row r="217" spans="5:9" ht="13.2">
      <c r="E217" s="69"/>
      <c r="G217" s="69"/>
      <c r="I217" s="69"/>
    </row>
    <row r="218" spans="5:9" ht="13.2">
      <c r="E218" s="69"/>
      <c r="G218" s="69"/>
      <c r="I218" s="69"/>
    </row>
    <row r="219" spans="5:9" ht="13.2">
      <c r="E219" s="69"/>
      <c r="G219" s="69"/>
      <c r="I219" s="69"/>
    </row>
    <row r="220" spans="5:9" ht="13.2">
      <c r="E220" s="69"/>
      <c r="G220" s="69"/>
      <c r="I220" s="69"/>
    </row>
    <row r="221" spans="5:9" ht="13.2">
      <c r="E221" s="69"/>
      <c r="G221" s="69"/>
      <c r="I221" s="69"/>
    </row>
    <row r="222" spans="5:9" ht="13.2">
      <c r="E222" s="69"/>
      <c r="G222" s="69"/>
      <c r="I222" s="69"/>
    </row>
    <row r="223" spans="5:9" ht="13.2">
      <c r="E223" s="69"/>
      <c r="G223" s="69"/>
      <c r="I223" s="69"/>
    </row>
    <row r="224" spans="5:9" ht="13.2">
      <c r="E224" s="69"/>
      <c r="G224" s="69"/>
      <c r="I224" s="69"/>
    </row>
    <row r="225" spans="5:9" ht="13.2">
      <c r="E225" s="69"/>
      <c r="G225" s="69"/>
      <c r="I225" s="69"/>
    </row>
    <row r="226" spans="5:9" ht="13.2">
      <c r="E226" s="69"/>
      <c r="G226" s="69"/>
      <c r="I226" s="69"/>
    </row>
    <row r="227" spans="5:9" ht="13.2">
      <c r="E227" s="69"/>
      <c r="G227" s="69"/>
      <c r="I227" s="69"/>
    </row>
    <row r="228" spans="5:9" ht="13.2">
      <c r="E228" s="69"/>
      <c r="G228" s="69"/>
      <c r="I228" s="69"/>
    </row>
    <row r="229" spans="5:9" ht="13.2">
      <c r="E229" s="69"/>
      <c r="G229" s="69"/>
      <c r="I229" s="69"/>
    </row>
    <row r="230" spans="5:9" ht="13.2">
      <c r="E230" s="69"/>
      <c r="G230" s="69"/>
      <c r="I230" s="69"/>
    </row>
    <row r="231" spans="5:9" ht="13.2">
      <c r="E231" s="69"/>
      <c r="G231" s="69"/>
      <c r="I231" s="69"/>
    </row>
    <row r="232" spans="5:9" ht="13.2">
      <c r="E232" s="69"/>
      <c r="G232" s="69"/>
      <c r="I232" s="69"/>
    </row>
    <row r="233" spans="5:9" ht="13.2">
      <c r="E233" s="69"/>
      <c r="G233" s="69"/>
      <c r="I233" s="69"/>
    </row>
    <row r="234" spans="5:9" ht="13.2">
      <c r="E234" s="69"/>
      <c r="G234" s="69"/>
      <c r="I234" s="69"/>
    </row>
    <row r="235" spans="5:9" ht="13.2">
      <c r="E235" s="69"/>
      <c r="G235" s="69"/>
      <c r="I235" s="69"/>
    </row>
    <row r="236" spans="5:9" ht="13.2">
      <c r="E236" s="69"/>
      <c r="G236" s="69"/>
      <c r="I236" s="69"/>
    </row>
    <row r="237" spans="5:9" ht="13.2">
      <c r="E237" s="69"/>
      <c r="G237" s="69"/>
      <c r="I237" s="69"/>
    </row>
    <row r="238" spans="5:9" ht="13.2">
      <c r="E238" s="69"/>
      <c r="G238" s="69"/>
      <c r="I238" s="69"/>
    </row>
    <row r="239" spans="5:9" ht="13.2">
      <c r="E239" s="69"/>
      <c r="G239" s="69"/>
      <c r="I239" s="69"/>
    </row>
    <row r="240" spans="5:9" ht="13.2">
      <c r="E240" s="69"/>
      <c r="G240" s="69"/>
      <c r="I240" s="69"/>
    </row>
    <row r="241" spans="5:9" ht="13.2">
      <c r="E241" s="69"/>
      <c r="G241" s="69"/>
      <c r="I241" s="69"/>
    </row>
    <row r="242" spans="5:9" ht="13.2">
      <c r="E242" s="69"/>
      <c r="G242" s="69"/>
      <c r="I242" s="69"/>
    </row>
    <row r="243" spans="5:9" ht="13.2">
      <c r="E243" s="69"/>
      <c r="G243" s="69"/>
      <c r="I243" s="69"/>
    </row>
    <row r="244" spans="5:9" ht="13.2">
      <c r="E244" s="69"/>
      <c r="G244" s="69"/>
      <c r="I244" s="69"/>
    </row>
    <row r="245" spans="5:9" ht="13.2">
      <c r="E245" s="69"/>
      <c r="G245" s="69"/>
      <c r="I245" s="69"/>
    </row>
    <row r="246" spans="5:9" ht="13.2">
      <c r="E246" s="69"/>
      <c r="G246" s="69"/>
      <c r="I246" s="69"/>
    </row>
    <row r="247" spans="5:9" ht="13.2">
      <c r="E247" s="69"/>
      <c r="G247" s="69"/>
      <c r="I247" s="69"/>
    </row>
    <row r="248" spans="5:9" ht="13.2">
      <c r="E248" s="69"/>
      <c r="G248" s="69"/>
      <c r="I248" s="69"/>
    </row>
    <row r="249" spans="5:9" ht="13.2">
      <c r="E249" s="69"/>
      <c r="G249" s="69"/>
      <c r="I249" s="69"/>
    </row>
    <row r="250" spans="5:9" ht="13.2">
      <c r="E250" s="69"/>
      <c r="G250" s="69"/>
      <c r="I250" s="69"/>
    </row>
    <row r="251" spans="5:9" ht="13.2">
      <c r="E251" s="69"/>
      <c r="G251" s="69"/>
      <c r="I251" s="69"/>
    </row>
    <row r="252" spans="5:9" ht="13.2">
      <c r="E252" s="69"/>
      <c r="G252" s="69"/>
      <c r="I252" s="69"/>
    </row>
    <row r="253" spans="5:9" ht="13.2">
      <c r="E253" s="69"/>
      <c r="G253" s="69"/>
      <c r="I253" s="69"/>
    </row>
    <row r="254" spans="5:9" ht="13.2">
      <c r="E254" s="69"/>
      <c r="G254" s="69"/>
      <c r="I254" s="69"/>
    </row>
    <row r="255" spans="5:9" ht="13.2">
      <c r="E255" s="69"/>
      <c r="G255" s="69"/>
      <c r="I255" s="69"/>
    </row>
    <row r="256" spans="5:9" ht="13.2">
      <c r="E256" s="69"/>
      <c r="G256" s="69"/>
      <c r="I256" s="69"/>
    </row>
    <row r="257" spans="5:9" ht="13.2">
      <c r="E257" s="69"/>
      <c r="G257" s="69"/>
      <c r="I257" s="69"/>
    </row>
    <row r="258" spans="5:9" ht="13.2">
      <c r="E258" s="69"/>
      <c r="G258" s="69"/>
      <c r="I258" s="69"/>
    </row>
    <row r="259" spans="5:9" ht="13.2">
      <c r="E259" s="69"/>
      <c r="G259" s="69"/>
      <c r="I259" s="69"/>
    </row>
    <row r="260" spans="5:9" ht="13.2">
      <c r="E260" s="69"/>
      <c r="G260" s="69"/>
      <c r="I260" s="69"/>
    </row>
    <row r="261" spans="5:9" ht="13.2">
      <c r="E261" s="69"/>
      <c r="G261" s="69"/>
      <c r="I261" s="69"/>
    </row>
    <row r="262" spans="5:9" ht="13.2">
      <c r="E262" s="69"/>
      <c r="G262" s="69"/>
      <c r="I262" s="69"/>
    </row>
    <row r="263" spans="5:9" ht="13.2">
      <c r="E263" s="69"/>
      <c r="G263" s="69"/>
      <c r="I263" s="69"/>
    </row>
    <row r="264" spans="5:9" ht="13.2">
      <c r="E264" s="69"/>
      <c r="G264" s="69"/>
      <c r="I264" s="69"/>
    </row>
    <row r="265" spans="5:9" ht="13.2">
      <c r="E265" s="69"/>
      <c r="G265" s="69"/>
      <c r="I265" s="69"/>
    </row>
    <row r="266" spans="5:9" ht="13.2">
      <c r="E266" s="69"/>
      <c r="G266" s="69"/>
      <c r="I266" s="69"/>
    </row>
    <row r="267" spans="5:9" ht="13.2">
      <c r="E267" s="69"/>
      <c r="G267" s="69"/>
      <c r="I267" s="69"/>
    </row>
    <row r="268" spans="5:9" ht="13.2">
      <c r="E268" s="69"/>
      <c r="G268" s="69"/>
      <c r="I268" s="69"/>
    </row>
    <row r="269" spans="5:9" ht="13.2">
      <c r="E269" s="69"/>
      <c r="G269" s="69"/>
      <c r="I269" s="69"/>
    </row>
    <row r="270" spans="5:9" ht="13.2">
      <c r="E270" s="69"/>
      <c r="G270" s="69"/>
      <c r="I270" s="69"/>
    </row>
    <row r="271" spans="5:9" ht="13.2">
      <c r="E271" s="69"/>
      <c r="G271" s="69"/>
      <c r="I271" s="69"/>
    </row>
    <row r="272" spans="5:9" ht="13.2">
      <c r="E272" s="69"/>
      <c r="G272" s="69"/>
      <c r="I272" s="69"/>
    </row>
    <row r="273" spans="5:9" ht="13.2">
      <c r="E273" s="69"/>
      <c r="G273" s="69"/>
      <c r="I273" s="69"/>
    </row>
    <row r="274" spans="5:9" ht="13.2">
      <c r="E274" s="69"/>
      <c r="G274" s="69"/>
      <c r="I274" s="69"/>
    </row>
    <row r="275" spans="5:9" ht="13.2">
      <c r="E275" s="69"/>
      <c r="G275" s="69"/>
      <c r="I275" s="69"/>
    </row>
    <row r="276" spans="5:9" ht="13.2">
      <c r="E276" s="69"/>
      <c r="G276" s="69"/>
      <c r="I276" s="69"/>
    </row>
    <row r="277" spans="5:9" ht="13.2">
      <c r="E277" s="69"/>
      <c r="G277" s="69"/>
      <c r="I277" s="69"/>
    </row>
    <row r="278" spans="5:9" ht="13.2">
      <c r="E278" s="69"/>
      <c r="G278" s="69"/>
      <c r="I278" s="69"/>
    </row>
    <row r="279" spans="5:9" ht="13.2">
      <c r="E279" s="69"/>
      <c r="G279" s="69"/>
      <c r="I279" s="69"/>
    </row>
    <row r="280" spans="5:9" ht="13.2">
      <c r="E280" s="69"/>
      <c r="G280" s="69"/>
      <c r="I280" s="69"/>
    </row>
    <row r="281" spans="5:9" ht="13.2">
      <c r="E281" s="69"/>
      <c r="G281" s="69"/>
      <c r="I281" s="69"/>
    </row>
    <row r="282" spans="5:9" ht="13.2">
      <c r="E282" s="69"/>
      <c r="G282" s="69"/>
      <c r="I282" s="69"/>
    </row>
    <row r="283" spans="5:9" ht="13.2">
      <c r="E283" s="69"/>
      <c r="G283" s="69"/>
      <c r="I283" s="69"/>
    </row>
    <row r="284" spans="5:9" ht="13.2">
      <c r="E284" s="69"/>
      <c r="G284" s="69"/>
      <c r="I284" s="69"/>
    </row>
    <row r="285" spans="5:9" ht="13.2">
      <c r="E285" s="69"/>
      <c r="G285" s="69"/>
      <c r="I285" s="69"/>
    </row>
    <row r="286" spans="5:9" ht="13.2">
      <c r="E286" s="69"/>
      <c r="G286" s="69"/>
      <c r="I286" s="69"/>
    </row>
    <row r="287" spans="5:9" ht="13.2">
      <c r="E287" s="69"/>
      <c r="G287" s="69"/>
      <c r="I287" s="69"/>
    </row>
    <row r="288" spans="5:9" ht="13.2">
      <c r="E288" s="69"/>
      <c r="G288" s="69"/>
      <c r="I288" s="69"/>
    </row>
    <row r="289" spans="5:9" ht="13.2">
      <c r="E289" s="69"/>
      <c r="G289" s="69"/>
      <c r="I289" s="69"/>
    </row>
    <row r="290" spans="5:9" ht="13.2">
      <c r="E290" s="69"/>
      <c r="G290" s="69"/>
      <c r="I290" s="69"/>
    </row>
    <row r="291" spans="5:9" ht="13.2">
      <c r="E291" s="69"/>
      <c r="G291" s="69"/>
      <c r="I291" s="69"/>
    </row>
    <row r="292" spans="5:9" ht="13.2">
      <c r="E292" s="69"/>
      <c r="G292" s="69"/>
      <c r="I292" s="69"/>
    </row>
    <row r="293" spans="5:9" ht="13.2">
      <c r="E293" s="69"/>
      <c r="G293" s="69"/>
      <c r="I293" s="69"/>
    </row>
    <row r="294" spans="5:9" ht="13.2">
      <c r="E294" s="69"/>
      <c r="G294" s="69"/>
      <c r="I294" s="69"/>
    </row>
    <row r="295" spans="5:9" ht="13.2">
      <c r="E295" s="69"/>
      <c r="G295" s="69"/>
      <c r="I295" s="69"/>
    </row>
    <row r="296" spans="5:9" ht="13.2">
      <c r="E296" s="69"/>
      <c r="G296" s="69"/>
      <c r="I296" s="69"/>
    </row>
    <row r="297" spans="5:9" ht="13.2">
      <c r="E297" s="69"/>
      <c r="G297" s="69"/>
      <c r="I297" s="69"/>
    </row>
    <row r="298" spans="5:9" ht="13.2">
      <c r="E298" s="69"/>
      <c r="G298" s="69"/>
      <c r="I298" s="69"/>
    </row>
    <row r="299" spans="5:9" ht="13.2">
      <c r="E299" s="69"/>
      <c r="G299" s="69"/>
      <c r="I299" s="69"/>
    </row>
    <row r="300" spans="5:9" ht="13.2">
      <c r="E300" s="69"/>
      <c r="G300" s="69"/>
      <c r="I300" s="69"/>
    </row>
    <row r="301" spans="5:9" ht="13.2">
      <c r="E301" s="69"/>
      <c r="G301" s="69"/>
      <c r="I301" s="69"/>
    </row>
    <row r="302" spans="5:9" ht="13.2">
      <c r="E302" s="69"/>
      <c r="G302" s="69"/>
      <c r="I302" s="69"/>
    </row>
    <row r="303" spans="5:9" ht="13.2">
      <c r="E303" s="69"/>
      <c r="G303" s="69"/>
      <c r="I303" s="69"/>
    </row>
    <row r="304" spans="5:9" ht="13.2">
      <c r="E304" s="69"/>
      <c r="G304" s="69"/>
      <c r="I304" s="69"/>
    </row>
    <row r="305" spans="5:9" ht="13.2">
      <c r="E305" s="69"/>
      <c r="G305" s="69"/>
      <c r="I305" s="69"/>
    </row>
    <row r="306" spans="5:9" ht="13.2">
      <c r="E306" s="69"/>
      <c r="G306" s="69"/>
      <c r="I306" s="69"/>
    </row>
    <row r="307" spans="5:9" ht="13.2">
      <c r="E307" s="69"/>
      <c r="G307" s="69"/>
      <c r="I307" s="69"/>
    </row>
    <row r="308" spans="5:9" ht="13.2">
      <c r="E308" s="69"/>
      <c r="G308" s="69"/>
      <c r="I308" s="69"/>
    </row>
    <row r="309" spans="5:9" ht="13.2">
      <c r="E309" s="69"/>
      <c r="G309" s="69"/>
      <c r="I309" s="69"/>
    </row>
    <row r="310" spans="5:9" ht="13.2">
      <c r="E310" s="69"/>
      <c r="G310" s="69"/>
      <c r="I310" s="69"/>
    </row>
    <row r="311" spans="5:9" ht="13.2">
      <c r="E311" s="69"/>
      <c r="G311" s="69"/>
      <c r="I311" s="69"/>
    </row>
    <row r="312" spans="5:9" ht="13.2">
      <c r="E312" s="69"/>
      <c r="G312" s="69"/>
      <c r="I312" s="69"/>
    </row>
    <row r="313" spans="5:9" ht="13.2">
      <c r="E313" s="69"/>
      <c r="G313" s="69"/>
      <c r="I313" s="69"/>
    </row>
    <row r="314" spans="5:9" ht="13.2">
      <c r="E314" s="69"/>
      <c r="G314" s="69"/>
      <c r="I314" s="69"/>
    </row>
    <row r="315" spans="5:9" ht="13.2">
      <c r="E315" s="69"/>
      <c r="G315" s="69"/>
      <c r="I315" s="69"/>
    </row>
    <row r="316" spans="5:9" ht="13.2">
      <c r="E316" s="69"/>
      <c r="G316" s="69"/>
      <c r="I316" s="69"/>
    </row>
    <row r="317" spans="5:9" ht="13.2">
      <c r="E317" s="69"/>
      <c r="G317" s="69"/>
      <c r="I317" s="69"/>
    </row>
    <row r="318" spans="5:9" ht="13.2">
      <c r="E318" s="69"/>
      <c r="G318" s="69"/>
      <c r="I318" s="69"/>
    </row>
    <row r="319" spans="5:9" ht="13.2">
      <c r="E319" s="69"/>
      <c r="G319" s="69"/>
      <c r="I319" s="69"/>
    </row>
    <row r="320" spans="5:9" ht="13.2">
      <c r="E320" s="69"/>
      <c r="G320" s="69"/>
      <c r="I320" s="69"/>
    </row>
    <row r="321" spans="5:9" ht="13.2">
      <c r="E321" s="69"/>
      <c r="G321" s="69"/>
      <c r="I321" s="69"/>
    </row>
    <row r="322" spans="5:9" ht="13.2">
      <c r="E322" s="69"/>
      <c r="G322" s="69"/>
      <c r="I322" s="69"/>
    </row>
    <row r="323" spans="5:9" ht="13.2">
      <c r="E323" s="69"/>
      <c r="G323" s="69"/>
      <c r="I323" s="69"/>
    </row>
    <row r="324" spans="5:9" ht="13.2">
      <c r="E324" s="69"/>
      <c r="G324" s="69"/>
      <c r="I324" s="69"/>
    </row>
    <row r="325" spans="5:9" ht="13.2">
      <c r="E325" s="69"/>
      <c r="G325" s="69"/>
      <c r="I325" s="69"/>
    </row>
    <row r="326" spans="5:9" ht="13.2">
      <c r="E326" s="69"/>
      <c r="G326" s="69"/>
      <c r="I326" s="69"/>
    </row>
    <row r="327" spans="5:9" ht="13.2">
      <c r="E327" s="69"/>
      <c r="G327" s="69"/>
      <c r="I327" s="69"/>
    </row>
    <row r="328" spans="5:9" ht="13.2">
      <c r="E328" s="69"/>
      <c r="G328" s="69"/>
      <c r="I328" s="69"/>
    </row>
    <row r="329" spans="5:9" ht="13.2">
      <c r="E329" s="69"/>
      <c r="G329" s="69"/>
      <c r="I329" s="69"/>
    </row>
    <row r="330" spans="5:9" ht="13.2">
      <c r="E330" s="69"/>
      <c r="G330" s="69"/>
      <c r="I330" s="69"/>
    </row>
    <row r="331" spans="5:9" ht="13.2">
      <c r="E331" s="69"/>
      <c r="G331" s="69"/>
      <c r="I331" s="69"/>
    </row>
    <row r="332" spans="5:9" ht="13.2">
      <c r="E332" s="69"/>
      <c r="G332" s="69"/>
      <c r="I332" s="69"/>
    </row>
    <row r="333" spans="5:9" ht="13.2">
      <c r="E333" s="69"/>
      <c r="G333" s="69"/>
      <c r="I333" s="69"/>
    </row>
    <row r="334" spans="5:9" ht="13.2">
      <c r="E334" s="69"/>
      <c r="G334" s="69"/>
      <c r="I334" s="69"/>
    </row>
    <row r="335" spans="5:9" ht="13.2">
      <c r="E335" s="69"/>
      <c r="G335" s="69"/>
      <c r="I335" s="69"/>
    </row>
    <row r="336" spans="5:9" ht="13.2">
      <c r="E336" s="69"/>
      <c r="G336" s="69"/>
      <c r="I336" s="69"/>
    </row>
    <row r="337" spans="5:9" ht="13.2">
      <c r="E337" s="69"/>
      <c r="G337" s="69"/>
      <c r="I337" s="69"/>
    </row>
    <row r="338" spans="5:9" ht="13.2">
      <c r="E338" s="69"/>
      <c r="G338" s="69"/>
      <c r="I338" s="69"/>
    </row>
    <row r="339" spans="5:9" ht="13.2">
      <c r="E339" s="69"/>
      <c r="G339" s="69"/>
      <c r="I339" s="69"/>
    </row>
    <row r="340" spans="5:9" ht="13.2">
      <c r="E340" s="69"/>
      <c r="G340" s="69"/>
      <c r="I340" s="69"/>
    </row>
    <row r="341" spans="5:9" ht="13.2">
      <c r="E341" s="69"/>
      <c r="G341" s="69"/>
      <c r="I341" s="69"/>
    </row>
    <row r="342" spans="5:9" ht="13.2">
      <c r="E342" s="69"/>
      <c r="G342" s="69"/>
      <c r="I342" s="69"/>
    </row>
    <row r="343" spans="5:9" ht="13.2">
      <c r="E343" s="69"/>
      <c r="G343" s="69"/>
      <c r="I343" s="69"/>
    </row>
    <row r="344" spans="5:9" ht="13.2">
      <c r="E344" s="69"/>
      <c r="G344" s="69"/>
      <c r="I344" s="69"/>
    </row>
    <row r="345" spans="5:9" ht="13.2">
      <c r="E345" s="69"/>
      <c r="G345" s="69"/>
      <c r="I345" s="69"/>
    </row>
    <row r="346" spans="5:9" ht="13.2">
      <c r="E346" s="69"/>
      <c r="G346" s="69"/>
      <c r="I346" s="69"/>
    </row>
    <row r="347" spans="5:9" ht="13.2">
      <c r="E347" s="69"/>
      <c r="G347" s="69"/>
      <c r="I347" s="69"/>
    </row>
    <row r="348" spans="5:9" ht="13.2">
      <c r="E348" s="69"/>
      <c r="G348" s="69"/>
      <c r="I348" s="69"/>
    </row>
    <row r="349" spans="5:9" ht="13.2">
      <c r="E349" s="69"/>
      <c r="G349" s="69"/>
      <c r="I349" s="69"/>
    </row>
    <row r="350" spans="5:9" ht="13.2">
      <c r="E350" s="69"/>
      <c r="G350" s="69"/>
      <c r="I350" s="69"/>
    </row>
    <row r="351" spans="5:9" ht="13.2">
      <c r="E351" s="69"/>
      <c r="G351" s="69"/>
      <c r="I351" s="69"/>
    </row>
    <row r="352" spans="5:9" ht="13.2">
      <c r="E352" s="69"/>
      <c r="G352" s="69"/>
      <c r="I352" s="69"/>
    </row>
    <row r="353" spans="5:9" ht="13.2">
      <c r="E353" s="69"/>
      <c r="G353" s="69"/>
      <c r="I353" s="69"/>
    </row>
    <row r="354" spans="5:9" ht="13.2">
      <c r="E354" s="69"/>
      <c r="G354" s="69"/>
      <c r="I354" s="69"/>
    </row>
    <row r="355" spans="5:9" ht="13.2">
      <c r="E355" s="69"/>
      <c r="G355" s="69"/>
      <c r="I355" s="69"/>
    </row>
    <row r="356" spans="5:9" ht="13.2">
      <c r="E356" s="69"/>
      <c r="G356" s="69"/>
      <c r="I356" s="69"/>
    </row>
    <row r="357" spans="5:9" ht="13.2">
      <c r="E357" s="69"/>
      <c r="G357" s="69"/>
      <c r="I357" s="69"/>
    </row>
    <row r="358" spans="5:9" ht="13.2">
      <c r="E358" s="69"/>
      <c r="G358" s="69"/>
      <c r="I358" s="69"/>
    </row>
    <row r="359" spans="5:9" ht="13.2">
      <c r="E359" s="69"/>
      <c r="G359" s="69"/>
      <c r="I359" s="69"/>
    </row>
    <row r="360" spans="5:9" ht="13.2">
      <c r="E360" s="69"/>
      <c r="G360" s="69"/>
      <c r="I360" s="69"/>
    </row>
    <row r="361" spans="5:9" ht="13.2">
      <c r="E361" s="69"/>
      <c r="G361" s="69"/>
      <c r="I361" s="69"/>
    </row>
    <row r="362" spans="5:9" ht="13.2">
      <c r="E362" s="69"/>
      <c r="G362" s="69"/>
      <c r="I362" s="69"/>
    </row>
    <row r="363" spans="5:9" ht="13.2">
      <c r="E363" s="69"/>
      <c r="G363" s="69"/>
      <c r="I363" s="69"/>
    </row>
    <row r="364" spans="5:9" ht="13.2">
      <c r="E364" s="69"/>
      <c r="G364" s="69"/>
      <c r="I364" s="69"/>
    </row>
    <row r="365" spans="5:9" ht="13.2">
      <c r="E365" s="69"/>
      <c r="G365" s="69"/>
      <c r="I365" s="69"/>
    </row>
    <row r="366" spans="5:9" ht="13.2">
      <c r="E366" s="69"/>
      <c r="G366" s="69"/>
      <c r="I366" s="69"/>
    </row>
    <row r="367" spans="5:9" ht="13.2">
      <c r="E367" s="69"/>
      <c r="G367" s="69"/>
      <c r="I367" s="69"/>
    </row>
    <row r="368" spans="5:9" ht="13.2">
      <c r="E368" s="69"/>
      <c r="G368" s="69"/>
      <c r="I368" s="69"/>
    </row>
    <row r="369" spans="5:9" ht="13.2">
      <c r="E369" s="69"/>
      <c r="G369" s="69"/>
      <c r="I369" s="69"/>
    </row>
    <row r="370" spans="5:9" ht="13.2">
      <c r="E370" s="69"/>
      <c r="G370" s="69"/>
      <c r="I370" s="69"/>
    </row>
    <row r="371" spans="5:9" ht="13.2">
      <c r="E371" s="69"/>
      <c r="G371" s="69"/>
      <c r="I371" s="69"/>
    </row>
    <row r="372" spans="5:9" ht="13.2">
      <c r="E372" s="69"/>
      <c r="G372" s="69"/>
      <c r="I372" s="69"/>
    </row>
    <row r="373" spans="5:9" ht="13.2">
      <c r="E373" s="69"/>
      <c r="G373" s="69"/>
      <c r="I373" s="69"/>
    </row>
    <row r="374" spans="5:9" ht="13.2">
      <c r="E374" s="69"/>
      <c r="G374" s="69"/>
      <c r="I374" s="69"/>
    </row>
    <row r="375" spans="5:9" ht="13.2">
      <c r="E375" s="69"/>
      <c r="G375" s="69"/>
      <c r="I375" s="69"/>
    </row>
    <row r="376" spans="5:9" ht="13.2">
      <c r="E376" s="69"/>
      <c r="G376" s="69"/>
      <c r="I376" s="69"/>
    </row>
    <row r="377" spans="5:9" ht="13.2">
      <c r="E377" s="69"/>
      <c r="G377" s="69"/>
      <c r="I377" s="69"/>
    </row>
    <row r="378" spans="5:9" ht="13.2">
      <c r="E378" s="69"/>
      <c r="G378" s="69"/>
      <c r="I378" s="69"/>
    </row>
    <row r="379" spans="5:9" ht="13.2">
      <c r="E379" s="69"/>
      <c r="G379" s="69"/>
      <c r="I379" s="69"/>
    </row>
    <row r="380" spans="5:9" ht="13.2">
      <c r="E380" s="69"/>
      <c r="G380" s="69"/>
      <c r="I380" s="69"/>
    </row>
    <row r="381" spans="5:9" ht="13.2">
      <c r="E381" s="69"/>
      <c r="G381" s="69"/>
      <c r="I381" s="69"/>
    </row>
    <row r="382" spans="5:9" ht="13.2">
      <c r="E382" s="69"/>
      <c r="G382" s="69"/>
      <c r="I382" s="69"/>
    </row>
    <row r="383" spans="5:9" ht="13.2">
      <c r="E383" s="69"/>
      <c r="G383" s="69"/>
      <c r="I383" s="69"/>
    </row>
    <row r="384" spans="5:9" ht="13.2">
      <c r="E384" s="69"/>
      <c r="G384" s="69"/>
      <c r="I384" s="69"/>
    </row>
    <row r="385" spans="5:9" ht="13.2">
      <c r="E385" s="69"/>
      <c r="G385" s="69"/>
      <c r="I385" s="69"/>
    </row>
    <row r="386" spans="5:9" ht="13.2">
      <c r="E386" s="69"/>
      <c r="G386" s="69"/>
      <c r="I386" s="69"/>
    </row>
    <row r="387" spans="5:9" ht="13.2">
      <c r="E387" s="69"/>
      <c r="G387" s="69"/>
      <c r="I387" s="69"/>
    </row>
    <row r="388" spans="5:9" ht="13.2">
      <c r="E388" s="69"/>
      <c r="G388" s="69"/>
      <c r="I388" s="69"/>
    </row>
    <row r="389" spans="5:9" ht="13.2">
      <c r="E389" s="69"/>
      <c r="G389" s="69"/>
      <c r="I389" s="69"/>
    </row>
    <row r="390" spans="5:9" ht="13.2">
      <c r="E390" s="69"/>
      <c r="G390" s="69"/>
      <c r="I390" s="69"/>
    </row>
    <row r="391" spans="5:9" ht="13.2">
      <c r="E391" s="69"/>
      <c r="G391" s="69"/>
      <c r="I391" s="69"/>
    </row>
    <row r="392" spans="5:9" ht="13.2">
      <c r="E392" s="69"/>
      <c r="G392" s="69"/>
      <c r="I392" s="69"/>
    </row>
    <row r="393" spans="5:9" ht="13.2">
      <c r="E393" s="69"/>
      <c r="G393" s="69"/>
      <c r="I393" s="69"/>
    </row>
    <row r="394" spans="5:9" ht="13.2">
      <c r="E394" s="69"/>
      <c r="G394" s="69"/>
      <c r="I394" s="69"/>
    </row>
    <row r="395" spans="5:9" ht="13.2">
      <c r="E395" s="69"/>
      <c r="G395" s="69"/>
      <c r="I395" s="69"/>
    </row>
    <row r="396" spans="5:9" ht="13.2">
      <c r="E396" s="69"/>
      <c r="G396" s="69"/>
      <c r="I396" s="69"/>
    </row>
    <row r="397" spans="5:9" ht="13.2">
      <c r="E397" s="69"/>
      <c r="G397" s="69"/>
      <c r="I397" s="69"/>
    </row>
    <row r="398" spans="5:9" ht="13.2">
      <c r="E398" s="69"/>
      <c r="G398" s="69"/>
      <c r="I398" s="69"/>
    </row>
    <row r="399" spans="5:9" ht="13.2">
      <c r="E399" s="69"/>
      <c r="G399" s="69"/>
      <c r="I399" s="69"/>
    </row>
    <row r="400" spans="5:9" ht="13.2">
      <c r="E400" s="69"/>
      <c r="G400" s="69"/>
      <c r="I400" s="69"/>
    </row>
    <row r="401" spans="5:9" ht="13.2">
      <c r="E401" s="69"/>
      <c r="G401" s="69"/>
      <c r="I401" s="69"/>
    </row>
    <row r="402" spans="5:9" ht="13.2">
      <c r="E402" s="69"/>
      <c r="G402" s="69"/>
      <c r="I402" s="69"/>
    </row>
    <row r="403" spans="5:9" ht="13.2">
      <c r="E403" s="69"/>
      <c r="G403" s="69"/>
      <c r="I403" s="69"/>
    </row>
    <row r="404" spans="5:9" ht="13.2">
      <c r="E404" s="69"/>
      <c r="G404" s="69"/>
      <c r="I404" s="69"/>
    </row>
    <row r="405" spans="5:9" ht="13.2">
      <c r="E405" s="69"/>
      <c r="G405" s="69"/>
      <c r="I405" s="69"/>
    </row>
    <row r="406" spans="5:9" ht="13.2">
      <c r="E406" s="69"/>
      <c r="G406" s="69"/>
      <c r="I406" s="69"/>
    </row>
    <row r="407" spans="5:9" ht="13.2">
      <c r="E407" s="69"/>
      <c r="G407" s="69"/>
      <c r="I407" s="69"/>
    </row>
    <row r="408" spans="5:9" ht="13.2">
      <c r="E408" s="69"/>
      <c r="G408" s="69"/>
      <c r="I408" s="69"/>
    </row>
    <row r="409" spans="5:9" ht="13.2">
      <c r="E409" s="69"/>
      <c r="G409" s="69"/>
      <c r="I409" s="69"/>
    </row>
    <row r="410" spans="5:9" ht="13.2">
      <c r="E410" s="69"/>
      <c r="G410" s="69"/>
      <c r="I410" s="69"/>
    </row>
    <row r="411" spans="5:9" ht="13.2">
      <c r="E411" s="69"/>
      <c r="G411" s="69"/>
      <c r="I411" s="69"/>
    </row>
    <row r="412" spans="5:9" ht="13.2">
      <c r="E412" s="69"/>
      <c r="G412" s="69"/>
      <c r="I412" s="69"/>
    </row>
    <row r="413" spans="5:9" ht="13.2">
      <c r="E413" s="69"/>
      <c r="G413" s="69"/>
      <c r="I413" s="69"/>
    </row>
    <row r="414" spans="5:9" ht="13.2">
      <c r="E414" s="69"/>
      <c r="G414" s="69"/>
      <c r="I414" s="69"/>
    </row>
    <row r="415" spans="5:9" ht="13.2">
      <c r="E415" s="69"/>
      <c r="G415" s="69"/>
      <c r="I415" s="69"/>
    </row>
    <row r="416" spans="5:9" ht="13.2">
      <c r="E416" s="69"/>
      <c r="G416" s="69"/>
      <c r="I416" s="69"/>
    </row>
    <row r="417" spans="5:9" ht="13.2">
      <c r="E417" s="69"/>
      <c r="G417" s="69"/>
      <c r="I417" s="69"/>
    </row>
    <row r="418" spans="5:9" ht="13.2">
      <c r="E418" s="69"/>
      <c r="G418" s="69"/>
      <c r="I418" s="69"/>
    </row>
    <row r="419" spans="5:9" ht="13.2">
      <c r="E419" s="69"/>
      <c r="G419" s="69"/>
      <c r="I419" s="69"/>
    </row>
    <row r="420" spans="5:9" ht="13.2">
      <c r="E420" s="69"/>
      <c r="G420" s="69"/>
      <c r="I420" s="69"/>
    </row>
    <row r="421" spans="5:9" ht="13.2">
      <c r="E421" s="69"/>
      <c r="G421" s="69"/>
      <c r="I421" s="69"/>
    </row>
    <row r="422" spans="5:9" ht="13.2">
      <c r="E422" s="69"/>
      <c r="G422" s="69"/>
      <c r="I422" s="69"/>
    </row>
    <row r="423" spans="5:9" ht="13.2">
      <c r="E423" s="69"/>
      <c r="G423" s="69"/>
      <c r="I423" s="69"/>
    </row>
    <row r="424" spans="5:9" ht="13.2">
      <c r="E424" s="69"/>
      <c r="G424" s="69"/>
      <c r="I424" s="69"/>
    </row>
    <row r="425" spans="5:9" ht="13.2">
      <c r="E425" s="69"/>
      <c r="G425" s="69"/>
      <c r="I425" s="69"/>
    </row>
    <row r="426" spans="5:9" ht="13.2">
      <c r="E426" s="69"/>
      <c r="G426" s="69"/>
      <c r="I426" s="69"/>
    </row>
    <row r="427" spans="5:9" ht="13.2">
      <c r="E427" s="69"/>
      <c r="G427" s="69"/>
      <c r="I427" s="69"/>
    </row>
    <row r="428" spans="5:9" ht="13.2">
      <c r="E428" s="69"/>
      <c r="G428" s="69"/>
      <c r="I428" s="69"/>
    </row>
    <row r="429" spans="5:9" ht="13.2">
      <c r="E429" s="69"/>
      <c r="G429" s="69"/>
      <c r="I429" s="69"/>
    </row>
    <row r="430" spans="5:9" ht="13.2">
      <c r="E430" s="69"/>
      <c r="G430" s="69"/>
      <c r="I430" s="69"/>
    </row>
    <row r="431" spans="5:9" ht="13.2">
      <c r="E431" s="69"/>
      <c r="G431" s="69"/>
      <c r="I431" s="69"/>
    </row>
    <row r="432" spans="5:9" ht="13.2">
      <c r="E432" s="69"/>
      <c r="G432" s="69"/>
      <c r="I432" s="69"/>
    </row>
    <row r="433" spans="5:9" ht="13.2">
      <c r="E433" s="69"/>
      <c r="G433" s="69"/>
      <c r="I433" s="69"/>
    </row>
    <row r="434" spans="5:9" ht="13.2">
      <c r="E434" s="69"/>
      <c r="G434" s="69"/>
      <c r="I434" s="69"/>
    </row>
    <row r="435" spans="5:9" ht="13.2">
      <c r="E435" s="69"/>
      <c r="G435" s="69"/>
      <c r="I435" s="69"/>
    </row>
    <row r="436" spans="5:9" ht="13.2">
      <c r="E436" s="69"/>
      <c r="G436" s="69"/>
      <c r="I436" s="69"/>
    </row>
    <row r="437" spans="5:9" ht="13.2">
      <c r="E437" s="69"/>
      <c r="G437" s="69"/>
      <c r="I437" s="69"/>
    </row>
    <row r="438" spans="5:9" ht="13.2">
      <c r="E438" s="69"/>
      <c r="G438" s="69"/>
      <c r="I438" s="69"/>
    </row>
    <row r="439" spans="5:9" ht="13.2">
      <c r="E439" s="69"/>
      <c r="G439" s="69"/>
      <c r="I439" s="69"/>
    </row>
    <row r="440" spans="5:9" ht="13.2">
      <c r="E440" s="69"/>
      <c r="G440" s="69"/>
      <c r="I440" s="69"/>
    </row>
    <row r="441" spans="5:9" ht="13.2">
      <c r="E441" s="69"/>
      <c r="G441" s="69"/>
      <c r="I441" s="69"/>
    </row>
    <row r="442" spans="5:9" ht="13.2">
      <c r="E442" s="69"/>
      <c r="G442" s="69"/>
      <c r="I442" s="69"/>
    </row>
    <row r="443" spans="5:9" ht="13.2">
      <c r="E443" s="69"/>
      <c r="G443" s="69"/>
      <c r="I443" s="69"/>
    </row>
    <row r="444" spans="5:9" ht="13.2">
      <c r="E444" s="69"/>
      <c r="G444" s="69"/>
      <c r="I444" s="69"/>
    </row>
    <row r="445" spans="5:9" ht="13.2">
      <c r="E445" s="69"/>
      <c r="G445" s="69"/>
      <c r="I445" s="69"/>
    </row>
    <row r="446" spans="5:9" ht="13.2">
      <c r="E446" s="69"/>
      <c r="G446" s="69"/>
      <c r="I446" s="69"/>
    </row>
    <row r="447" spans="5:9" ht="13.2">
      <c r="E447" s="69"/>
      <c r="G447" s="69"/>
      <c r="I447" s="69"/>
    </row>
    <row r="448" spans="5:9" ht="13.2">
      <c r="E448" s="69"/>
      <c r="G448" s="69"/>
      <c r="I448" s="69"/>
    </row>
    <row r="449" spans="5:9" ht="13.2">
      <c r="E449" s="69"/>
      <c r="G449" s="69"/>
      <c r="I449" s="69"/>
    </row>
    <row r="450" spans="5:9" ht="13.2">
      <c r="E450" s="69"/>
      <c r="G450" s="69"/>
      <c r="I450" s="69"/>
    </row>
    <row r="451" spans="5:9" ht="13.2">
      <c r="E451" s="69"/>
      <c r="G451" s="69"/>
      <c r="I451" s="69"/>
    </row>
    <row r="452" spans="5:9" ht="13.2">
      <c r="E452" s="69"/>
      <c r="G452" s="69"/>
      <c r="I452" s="69"/>
    </row>
    <row r="453" spans="5:9" ht="13.2">
      <c r="E453" s="69"/>
      <c r="G453" s="69"/>
      <c r="I453" s="69"/>
    </row>
    <row r="454" spans="5:9" ht="13.2">
      <c r="E454" s="69"/>
      <c r="G454" s="69"/>
      <c r="I454" s="69"/>
    </row>
    <row r="455" spans="5:9" ht="13.2">
      <c r="E455" s="69"/>
      <c r="G455" s="69"/>
      <c r="I455" s="69"/>
    </row>
    <row r="456" spans="5:9" ht="13.2">
      <c r="E456" s="69"/>
      <c r="G456" s="69"/>
      <c r="I456" s="69"/>
    </row>
    <row r="457" spans="5:9" ht="13.2">
      <c r="E457" s="69"/>
      <c r="G457" s="69"/>
      <c r="I457" s="69"/>
    </row>
    <row r="458" spans="5:9" ht="13.2">
      <c r="E458" s="69"/>
      <c r="G458" s="69"/>
      <c r="I458" s="69"/>
    </row>
    <row r="459" spans="5:9" ht="13.2">
      <c r="E459" s="69"/>
      <c r="G459" s="69"/>
      <c r="I459" s="69"/>
    </row>
    <row r="460" spans="5:9" ht="13.2">
      <c r="E460" s="69"/>
      <c r="G460" s="69"/>
      <c r="I460" s="69"/>
    </row>
    <row r="461" spans="5:9" ht="13.2">
      <c r="E461" s="69"/>
      <c r="G461" s="69"/>
      <c r="I461" s="69"/>
    </row>
    <row r="462" spans="5:9" ht="13.2">
      <c r="E462" s="69"/>
      <c r="G462" s="69"/>
      <c r="I462" s="69"/>
    </row>
    <row r="463" spans="5:9" ht="13.2">
      <c r="E463" s="69"/>
      <c r="G463" s="69"/>
      <c r="I463" s="69"/>
    </row>
    <row r="464" spans="5:9" ht="13.2">
      <c r="E464" s="69"/>
      <c r="G464" s="69"/>
      <c r="I464" s="69"/>
    </row>
    <row r="465" spans="5:9" ht="13.2">
      <c r="E465" s="69"/>
      <c r="G465" s="69"/>
      <c r="I465" s="69"/>
    </row>
    <row r="466" spans="5:9" ht="13.2">
      <c r="E466" s="69"/>
      <c r="G466" s="69"/>
      <c r="I466" s="69"/>
    </row>
    <row r="467" spans="5:9" ht="13.2">
      <c r="E467" s="69"/>
      <c r="G467" s="69"/>
      <c r="I467" s="69"/>
    </row>
    <row r="468" spans="5:9" ht="13.2">
      <c r="E468" s="69"/>
      <c r="G468" s="69"/>
      <c r="I468" s="69"/>
    </row>
    <row r="469" spans="5:9" ht="13.2">
      <c r="E469" s="69"/>
      <c r="G469" s="69"/>
      <c r="I469" s="69"/>
    </row>
    <row r="470" spans="5:9" ht="13.2">
      <c r="E470" s="69"/>
      <c r="G470" s="69"/>
      <c r="I470" s="69"/>
    </row>
    <row r="471" spans="5:9" ht="13.2">
      <c r="E471" s="69"/>
      <c r="G471" s="69"/>
      <c r="I471" s="69"/>
    </row>
    <row r="472" spans="5:9" ht="13.2">
      <c r="E472" s="69"/>
      <c r="G472" s="69"/>
      <c r="I472" s="69"/>
    </row>
    <row r="473" spans="5:9" ht="13.2">
      <c r="E473" s="69"/>
      <c r="G473" s="69"/>
      <c r="I473" s="69"/>
    </row>
    <row r="474" spans="5:9" ht="13.2">
      <c r="E474" s="69"/>
      <c r="G474" s="69"/>
      <c r="I474" s="69"/>
    </row>
    <row r="475" spans="5:9" ht="13.2">
      <c r="E475" s="69"/>
      <c r="G475" s="69"/>
      <c r="I475" s="69"/>
    </row>
    <row r="476" spans="5:9" ht="13.2">
      <c r="E476" s="69"/>
      <c r="G476" s="69"/>
      <c r="I476" s="69"/>
    </row>
    <row r="477" spans="5:9" ht="13.2">
      <c r="E477" s="69"/>
      <c r="G477" s="69"/>
      <c r="I477" s="69"/>
    </row>
    <row r="478" spans="5:9" ht="13.2">
      <c r="E478" s="69"/>
      <c r="G478" s="69"/>
      <c r="I478" s="69"/>
    </row>
    <row r="479" spans="5:9" ht="13.2">
      <c r="E479" s="69"/>
      <c r="G479" s="69"/>
      <c r="I479" s="69"/>
    </row>
    <row r="480" spans="5:9" ht="13.2">
      <c r="E480" s="69"/>
      <c r="G480" s="69"/>
      <c r="I480" s="69"/>
    </row>
    <row r="481" spans="5:9" ht="13.2">
      <c r="E481" s="69"/>
      <c r="G481" s="69"/>
      <c r="I481" s="69"/>
    </row>
    <row r="482" spans="5:9" ht="13.2">
      <c r="E482" s="69"/>
      <c r="G482" s="69"/>
      <c r="I482" s="69"/>
    </row>
    <row r="483" spans="5:9" ht="13.2">
      <c r="E483" s="69"/>
      <c r="G483" s="69"/>
      <c r="I483" s="69"/>
    </row>
    <row r="484" spans="5:9" ht="13.2">
      <c r="E484" s="69"/>
      <c r="G484" s="69"/>
      <c r="I484" s="69"/>
    </row>
    <row r="485" spans="5:9" ht="13.2">
      <c r="E485" s="69"/>
      <c r="G485" s="69"/>
      <c r="I485" s="69"/>
    </row>
    <row r="486" spans="5:9" ht="13.2">
      <c r="E486" s="69"/>
      <c r="G486" s="69"/>
      <c r="I486" s="69"/>
    </row>
    <row r="487" spans="5:9" ht="13.2">
      <c r="E487" s="69"/>
      <c r="G487" s="69"/>
      <c r="I487" s="69"/>
    </row>
    <row r="488" spans="5:9" ht="13.2">
      <c r="E488" s="69"/>
      <c r="G488" s="69"/>
      <c r="I488" s="69"/>
    </row>
    <row r="489" spans="5:9" ht="13.2">
      <c r="E489" s="69"/>
      <c r="G489" s="69"/>
      <c r="I489" s="69"/>
    </row>
    <row r="490" spans="5:9" ht="13.2">
      <c r="E490" s="69"/>
      <c r="G490" s="69"/>
      <c r="I490" s="69"/>
    </row>
    <row r="491" spans="5:9" ht="13.2">
      <c r="E491" s="69"/>
      <c r="G491" s="69"/>
      <c r="I491" s="69"/>
    </row>
    <row r="492" spans="5:9" ht="13.2">
      <c r="E492" s="69"/>
      <c r="G492" s="69"/>
      <c r="I492" s="69"/>
    </row>
    <row r="493" spans="5:9" ht="13.2">
      <c r="E493" s="69"/>
      <c r="G493" s="69"/>
      <c r="I493" s="69"/>
    </row>
    <row r="494" spans="5:9" ht="13.2">
      <c r="E494" s="69"/>
      <c r="G494" s="69"/>
      <c r="I494" s="69"/>
    </row>
    <row r="495" spans="5:9" ht="13.2">
      <c r="E495" s="69"/>
      <c r="G495" s="69"/>
      <c r="I495" s="69"/>
    </row>
    <row r="496" spans="5:9" ht="13.2">
      <c r="E496" s="69"/>
      <c r="G496" s="69"/>
      <c r="I496" s="69"/>
    </row>
    <row r="497" spans="5:9" ht="13.2">
      <c r="E497" s="69"/>
      <c r="G497" s="69"/>
      <c r="I497" s="69"/>
    </row>
    <row r="498" spans="5:9" ht="13.2">
      <c r="E498" s="69"/>
      <c r="G498" s="69"/>
      <c r="I498" s="69"/>
    </row>
    <row r="499" spans="5:9" ht="13.2">
      <c r="E499" s="69"/>
      <c r="G499" s="69"/>
      <c r="I499" s="69"/>
    </row>
    <row r="500" spans="5:9" ht="13.2">
      <c r="E500" s="69"/>
      <c r="G500" s="69"/>
      <c r="I500" s="69"/>
    </row>
    <row r="501" spans="5:9" ht="13.2">
      <c r="E501" s="69"/>
      <c r="G501" s="69"/>
      <c r="I501" s="69"/>
    </row>
    <row r="502" spans="5:9" ht="13.2">
      <c r="E502" s="69"/>
      <c r="G502" s="69"/>
      <c r="I502" s="69"/>
    </row>
    <row r="503" spans="5:9" ht="13.2">
      <c r="E503" s="69"/>
      <c r="G503" s="69"/>
      <c r="I503" s="69"/>
    </row>
    <row r="504" spans="5:9" ht="13.2">
      <c r="E504" s="69"/>
      <c r="G504" s="69"/>
      <c r="I504" s="69"/>
    </row>
    <row r="505" spans="5:9" ht="13.2">
      <c r="E505" s="69"/>
      <c r="G505" s="69"/>
      <c r="I505" s="69"/>
    </row>
    <row r="506" spans="5:9" ht="13.2">
      <c r="E506" s="69"/>
      <c r="G506" s="69"/>
      <c r="I506" s="69"/>
    </row>
    <row r="507" spans="5:9" ht="13.2">
      <c r="E507" s="69"/>
      <c r="G507" s="69"/>
      <c r="I507" s="69"/>
    </row>
    <row r="508" spans="5:9" ht="13.2">
      <c r="E508" s="69"/>
      <c r="G508" s="69"/>
      <c r="I508" s="69"/>
    </row>
    <row r="509" spans="5:9" ht="13.2">
      <c r="E509" s="69"/>
      <c r="G509" s="69"/>
      <c r="I509" s="69"/>
    </row>
    <row r="510" spans="5:9" ht="13.2">
      <c r="E510" s="69"/>
      <c r="G510" s="69"/>
      <c r="I510" s="69"/>
    </row>
    <row r="511" spans="5:9" ht="13.2">
      <c r="E511" s="69"/>
      <c r="G511" s="69"/>
      <c r="I511" s="69"/>
    </row>
    <row r="512" spans="5:9" ht="13.2">
      <c r="E512" s="69"/>
      <c r="G512" s="69"/>
      <c r="I512" s="69"/>
    </row>
    <row r="513" spans="5:9" ht="13.2">
      <c r="E513" s="69"/>
      <c r="G513" s="69"/>
      <c r="I513" s="69"/>
    </row>
    <row r="514" spans="5:9" ht="13.2">
      <c r="E514" s="69"/>
      <c r="G514" s="69"/>
      <c r="I514" s="69"/>
    </row>
    <row r="515" spans="5:9" ht="13.2">
      <c r="E515" s="69"/>
      <c r="G515" s="69"/>
      <c r="I515" s="69"/>
    </row>
    <row r="516" spans="5:9" ht="13.2">
      <c r="E516" s="69"/>
      <c r="G516" s="69"/>
      <c r="I516" s="69"/>
    </row>
    <row r="517" spans="5:9" ht="13.2">
      <c r="E517" s="69"/>
      <c r="G517" s="69"/>
      <c r="I517" s="69"/>
    </row>
    <row r="518" spans="5:9" ht="13.2">
      <c r="E518" s="69"/>
      <c r="G518" s="69"/>
      <c r="I518" s="69"/>
    </row>
    <row r="519" spans="5:9" ht="13.2">
      <c r="E519" s="69"/>
      <c r="G519" s="69"/>
      <c r="I519" s="69"/>
    </row>
    <row r="520" spans="5:9" ht="13.2">
      <c r="E520" s="69"/>
      <c r="G520" s="69"/>
      <c r="I520" s="69"/>
    </row>
    <row r="521" spans="5:9" ht="13.2">
      <c r="E521" s="69"/>
      <c r="G521" s="69"/>
      <c r="I521" s="69"/>
    </row>
    <row r="522" spans="5:9" ht="13.2">
      <c r="E522" s="69"/>
      <c r="G522" s="69"/>
      <c r="I522" s="69"/>
    </row>
    <row r="523" spans="5:9" ht="13.2">
      <c r="E523" s="69"/>
      <c r="G523" s="69"/>
      <c r="I523" s="69"/>
    </row>
    <row r="524" spans="5:9" ht="13.2">
      <c r="E524" s="69"/>
      <c r="G524" s="69"/>
      <c r="I524" s="69"/>
    </row>
    <row r="525" spans="5:9" ht="13.2">
      <c r="E525" s="69"/>
      <c r="G525" s="69"/>
      <c r="I525" s="69"/>
    </row>
    <row r="526" spans="5:9" ht="13.2">
      <c r="E526" s="69"/>
      <c r="G526" s="69"/>
      <c r="I526" s="69"/>
    </row>
    <row r="527" spans="5:9" ht="13.2">
      <c r="E527" s="69"/>
      <c r="G527" s="69"/>
      <c r="I527" s="69"/>
    </row>
    <row r="528" spans="5:9" ht="13.2">
      <c r="E528" s="69"/>
      <c r="G528" s="69"/>
      <c r="I528" s="69"/>
    </row>
    <row r="529" spans="5:9" ht="13.2">
      <c r="E529" s="69"/>
      <c r="G529" s="69"/>
      <c r="I529" s="69"/>
    </row>
    <row r="530" spans="5:9" ht="13.2">
      <c r="E530" s="69"/>
      <c r="G530" s="69"/>
      <c r="I530" s="69"/>
    </row>
    <row r="531" spans="5:9" ht="13.2">
      <c r="E531" s="69"/>
      <c r="G531" s="69"/>
      <c r="I531" s="69"/>
    </row>
    <row r="532" spans="5:9" ht="13.2">
      <c r="E532" s="69"/>
      <c r="G532" s="69"/>
      <c r="I532" s="69"/>
    </row>
    <row r="533" spans="5:9" ht="13.2">
      <c r="E533" s="69"/>
      <c r="G533" s="69"/>
      <c r="I533" s="69"/>
    </row>
    <row r="534" spans="5:9" ht="13.2">
      <c r="E534" s="69"/>
      <c r="G534" s="69"/>
      <c r="I534" s="69"/>
    </row>
    <row r="535" spans="5:9" ht="13.2">
      <c r="E535" s="69"/>
      <c r="G535" s="69"/>
      <c r="I535" s="69"/>
    </row>
    <row r="536" spans="5:9" ht="13.2">
      <c r="E536" s="69"/>
      <c r="G536" s="69"/>
      <c r="I536" s="69"/>
    </row>
    <row r="537" spans="5:9" ht="13.2">
      <c r="E537" s="69"/>
      <c r="G537" s="69"/>
      <c r="I537" s="69"/>
    </row>
    <row r="538" spans="5:9" ht="13.2">
      <c r="E538" s="69"/>
      <c r="G538" s="69"/>
      <c r="I538" s="69"/>
    </row>
    <row r="539" spans="5:9" ht="13.2">
      <c r="E539" s="69"/>
      <c r="G539" s="69"/>
      <c r="I539" s="69"/>
    </row>
    <row r="540" spans="5:9" ht="13.2">
      <c r="E540" s="69"/>
      <c r="G540" s="69"/>
      <c r="I540" s="69"/>
    </row>
    <row r="541" spans="5:9" ht="13.2">
      <c r="E541" s="69"/>
      <c r="G541" s="69"/>
      <c r="I541" s="69"/>
    </row>
    <row r="542" spans="5:9" ht="13.2">
      <c r="E542" s="69"/>
      <c r="G542" s="69"/>
      <c r="I542" s="69"/>
    </row>
    <row r="543" spans="5:9" ht="13.2">
      <c r="E543" s="69"/>
      <c r="G543" s="69"/>
      <c r="I543" s="69"/>
    </row>
    <row r="544" spans="5:9" ht="13.2">
      <c r="E544" s="69"/>
      <c r="G544" s="69"/>
      <c r="I544" s="69"/>
    </row>
    <row r="545" spans="5:9" ht="13.2">
      <c r="E545" s="69"/>
      <c r="G545" s="69"/>
      <c r="I545" s="69"/>
    </row>
    <row r="546" spans="5:9" ht="13.2">
      <c r="E546" s="69"/>
      <c r="G546" s="69"/>
      <c r="I546" s="69"/>
    </row>
    <row r="547" spans="5:9" ht="13.2">
      <c r="E547" s="69"/>
      <c r="G547" s="69"/>
      <c r="I547" s="69"/>
    </row>
    <row r="548" spans="5:9" ht="13.2">
      <c r="E548" s="69"/>
      <c r="G548" s="69"/>
      <c r="I548" s="69"/>
    </row>
    <row r="549" spans="5:9" ht="13.2">
      <c r="E549" s="69"/>
      <c r="G549" s="69"/>
      <c r="I549" s="69"/>
    </row>
    <row r="550" spans="5:9" ht="13.2">
      <c r="E550" s="69"/>
      <c r="G550" s="69"/>
      <c r="I550" s="69"/>
    </row>
    <row r="551" spans="5:9" ht="13.2">
      <c r="E551" s="69"/>
      <c r="G551" s="69"/>
      <c r="I551" s="69"/>
    </row>
    <row r="552" spans="5:9" ht="13.2">
      <c r="E552" s="69"/>
      <c r="G552" s="69"/>
      <c r="I552" s="69"/>
    </row>
    <row r="553" spans="5:9" ht="13.2">
      <c r="E553" s="69"/>
      <c r="G553" s="69"/>
      <c r="I553" s="69"/>
    </row>
    <row r="554" spans="5:9" ht="13.2">
      <c r="E554" s="69"/>
      <c r="G554" s="69"/>
      <c r="I554" s="69"/>
    </row>
    <row r="555" spans="5:9" ht="13.2">
      <c r="E555" s="69"/>
      <c r="G555" s="69"/>
      <c r="I555" s="69"/>
    </row>
    <row r="556" spans="5:9" ht="13.2">
      <c r="E556" s="69"/>
      <c r="G556" s="69"/>
      <c r="I556" s="69"/>
    </row>
    <row r="557" spans="5:9" ht="13.2">
      <c r="E557" s="69"/>
      <c r="G557" s="69"/>
      <c r="I557" s="69"/>
    </row>
    <row r="558" spans="5:9" ht="13.2">
      <c r="E558" s="69"/>
      <c r="G558" s="69"/>
      <c r="I558" s="69"/>
    </row>
    <row r="559" spans="5:9" ht="13.2">
      <c r="E559" s="69"/>
      <c r="G559" s="69"/>
      <c r="I559" s="69"/>
    </row>
    <row r="560" spans="5:9" ht="13.2">
      <c r="E560" s="69"/>
      <c r="G560" s="69"/>
      <c r="I560" s="69"/>
    </row>
    <row r="561" spans="5:9" ht="13.2">
      <c r="E561" s="69"/>
      <c r="G561" s="69"/>
      <c r="I561" s="69"/>
    </row>
    <row r="562" spans="5:9" ht="13.2">
      <c r="E562" s="69"/>
      <c r="G562" s="69"/>
      <c r="I562" s="69"/>
    </row>
    <row r="563" spans="5:9" ht="13.2">
      <c r="E563" s="69"/>
      <c r="G563" s="69"/>
      <c r="I563" s="69"/>
    </row>
    <row r="564" spans="5:9" ht="13.2">
      <c r="E564" s="69"/>
      <c r="G564" s="69"/>
      <c r="I564" s="69"/>
    </row>
    <row r="565" spans="5:9" ht="13.2">
      <c r="E565" s="69"/>
      <c r="G565" s="69"/>
      <c r="I565" s="69"/>
    </row>
    <row r="566" spans="5:9" ht="13.2">
      <c r="E566" s="69"/>
      <c r="G566" s="69"/>
      <c r="I566" s="69"/>
    </row>
    <row r="567" spans="5:9" ht="13.2">
      <c r="E567" s="69"/>
      <c r="G567" s="69"/>
      <c r="I567" s="69"/>
    </row>
    <row r="568" spans="5:9" ht="13.2">
      <c r="E568" s="69"/>
      <c r="G568" s="69"/>
      <c r="I568" s="69"/>
    </row>
    <row r="569" spans="5:9" ht="13.2">
      <c r="E569" s="69"/>
      <c r="G569" s="69"/>
      <c r="I569" s="69"/>
    </row>
    <row r="570" spans="5:9" ht="13.2">
      <c r="E570" s="69"/>
      <c r="G570" s="69"/>
      <c r="I570" s="69"/>
    </row>
    <row r="571" spans="5:9" ht="13.2">
      <c r="E571" s="69"/>
      <c r="G571" s="69"/>
      <c r="I571" s="69"/>
    </row>
    <row r="572" spans="5:9" ht="13.2">
      <c r="E572" s="69"/>
      <c r="G572" s="69"/>
      <c r="I572" s="69"/>
    </row>
    <row r="573" spans="5:9" ht="13.2">
      <c r="E573" s="69"/>
      <c r="G573" s="69"/>
      <c r="I573" s="69"/>
    </row>
    <row r="574" spans="5:9" ht="13.2">
      <c r="E574" s="69"/>
      <c r="G574" s="69"/>
      <c r="I574" s="69"/>
    </row>
    <row r="575" spans="5:9" ht="13.2">
      <c r="E575" s="69"/>
      <c r="G575" s="69"/>
      <c r="I575" s="69"/>
    </row>
    <row r="576" spans="5:9" ht="13.2">
      <c r="E576" s="69"/>
      <c r="G576" s="69"/>
      <c r="I576" s="69"/>
    </row>
    <row r="577" spans="5:9" ht="13.2">
      <c r="E577" s="69"/>
      <c r="G577" s="69"/>
      <c r="I577" s="69"/>
    </row>
    <row r="578" spans="5:9" ht="13.2">
      <c r="E578" s="69"/>
      <c r="G578" s="69"/>
      <c r="I578" s="69"/>
    </row>
    <row r="579" spans="5:9" ht="13.2">
      <c r="E579" s="69"/>
      <c r="G579" s="69"/>
      <c r="I579" s="69"/>
    </row>
    <row r="580" spans="5:9" ht="13.2">
      <c r="E580" s="69"/>
      <c r="G580" s="69"/>
      <c r="I580" s="69"/>
    </row>
    <row r="581" spans="5:9" ht="13.2">
      <c r="E581" s="69"/>
      <c r="G581" s="69"/>
      <c r="I581" s="69"/>
    </row>
    <row r="582" spans="5:9" ht="13.2">
      <c r="E582" s="69"/>
      <c r="G582" s="69"/>
      <c r="I582" s="69"/>
    </row>
    <row r="583" spans="5:9" ht="13.2">
      <c r="E583" s="69"/>
      <c r="G583" s="69"/>
      <c r="I583" s="69"/>
    </row>
    <row r="584" spans="5:9" ht="13.2">
      <c r="E584" s="69"/>
      <c r="G584" s="69"/>
      <c r="I584" s="69"/>
    </row>
    <row r="585" spans="5:9" ht="13.2">
      <c r="E585" s="69"/>
      <c r="G585" s="69"/>
      <c r="I585" s="69"/>
    </row>
    <row r="586" spans="5:9" ht="13.2">
      <c r="E586" s="69"/>
      <c r="G586" s="69"/>
      <c r="I586" s="69"/>
    </row>
    <row r="587" spans="5:9" ht="13.2">
      <c r="E587" s="69"/>
      <c r="G587" s="69"/>
      <c r="I587" s="69"/>
    </row>
    <row r="588" spans="5:9" ht="13.2">
      <c r="E588" s="69"/>
      <c r="G588" s="69"/>
      <c r="I588" s="69"/>
    </row>
    <row r="589" spans="5:9" ht="13.2">
      <c r="E589" s="69"/>
      <c r="G589" s="69"/>
      <c r="I589" s="69"/>
    </row>
    <row r="590" spans="5:9" ht="13.2">
      <c r="E590" s="69"/>
      <c r="G590" s="69"/>
      <c r="I590" s="69"/>
    </row>
    <row r="591" spans="5:9" ht="13.2">
      <c r="E591" s="69"/>
      <c r="G591" s="69"/>
      <c r="I591" s="69"/>
    </row>
    <row r="592" spans="5:9" ht="13.2">
      <c r="E592" s="69"/>
      <c r="G592" s="69"/>
      <c r="I592" s="69"/>
    </row>
    <row r="593" spans="5:9" ht="13.2">
      <c r="E593" s="69"/>
      <c r="G593" s="69"/>
      <c r="I593" s="69"/>
    </row>
    <row r="594" spans="5:9" ht="13.2">
      <c r="E594" s="69"/>
      <c r="G594" s="69"/>
      <c r="I594" s="69"/>
    </row>
    <row r="595" spans="5:9" ht="13.2">
      <c r="E595" s="69"/>
      <c r="G595" s="69"/>
      <c r="I595" s="69"/>
    </row>
    <row r="596" spans="5:9" ht="13.2">
      <c r="E596" s="69"/>
      <c r="G596" s="69"/>
      <c r="I596" s="69"/>
    </row>
    <row r="597" spans="5:9" ht="13.2">
      <c r="E597" s="69"/>
      <c r="G597" s="69"/>
      <c r="I597" s="69"/>
    </row>
    <row r="598" spans="5:9" ht="13.2">
      <c r="E598" s="69"/>
      <c r="G598" s="69"/>
      <c r="I598" s="69"/>
    </row>
    <row r="599" spans="5:9" ht="13.2">
      <c r="E599" s="69"/>
      <c r="G599" s="69"/>
      <c r="I599" s="69"/>
    </row>
    <row r="600" spans="5:9" ht="13.2">
      <c r="E600" s="69"/>
      <c r="G600" s="69"/>
      <c r="I600" s="69"/>
    </row>
    <row r="601" spans="5:9" ht="13.2">
      <c r="E601" s="69"/>
      <c r="G601" s="69"/>
      <c r="I601" s="69"/>
    </row>
    <row r="602" spans="5:9" ht="13.2">
      <c r="E602" s="69"/>
      <c r="G602" s="69"/>
      <c r="I602" s="69"/>
    </row>
    <row r="603" spans="5:9" ht="13.2">
      <c r="E603" s="69"/>
      <c r="G603" s="69"/>
      <c r="I603" s="69"/>
    </row>
    <row r="604" spans="5:9" ht="13.2">
      <c r="E604" s="69"/>
      <c r="G604" s="69"/>
      <c r="I604" s="69"/>
    </row>
    <row r="605" spans="5:9" ht="13.2">
      <c r="E605" s="69"/>
      <c r="G605" s="69"/>
      <c r="I605" s="69"/>
    </row>
    <row r="606" spans="5:9" ht="13.2">
      <c r="E606" s="69"/>
      <c r="G606" s="69"/>
      <c r="I606" s="69"/>
    </row>
    <row r="607" spans="5:9" ht="13.2">
      <c r="E607" s="69"/>
      <c r="G607" s="69"/>
      <c r="I607" s="69"/>
    </row>
    <row r="608" spans="5:9" ht="13.2">
      <c r="E608" s="69"/>
      <c r="G608" s="69"/>
      <c r="I608" s="69"/>
    </row>
    <row r="609" spans="5:9" ht="13.2">
      <c r="E609" s="69"/>
      <c r="G609" s="69"/>
      <c r="I609" s="69"/>
    </row>
    <row r="610" spans="5:9" ht="13.2">
      <c r="E610" s="69"/>
      <c r="G610" s="69"/>
      <c r="I610" s="69"/>
    </row>
    <row r="611" spans="5:9" ht="13.2">
      <c r="E611" s="69"/>
      <c r="G611" s="69"/>
      <c r="I611" s="69"/>
    </row>
    <row r="612" spans="5:9" ht="13.2">
      <c r="E612" s="69"/>
      <c r="G612" s="69"/>
      <c r="I612" s="69"/>
    </row>
    <row r="613" spans="5:9" ht="13.2">
      <c r="E613" s="69"/>
      <c r="G613" s="69"/>
      <c r="I613" s="69"/>
    </row>
    <row r="614" spans="5:9" ht="13.2">
      <c r="E614" s="69"/>
      <c r="G614" s="69"/>
      <c r="I614" s="69"/>
    </row>
    <row r="615" spans="5:9" ht="13.2">
      <c r="E615" s="69"/>
      <c r="G615" s="69"/>
      <c r="I615" s="69"/>
    </row>
    <row r="616" spans="5:9" ht="13.2">
      <c r="E616" s="69"/>
      <c r="G616" s="69"/>
      <c r="I616" s="69"/>
    </row>
    <row r="617" spans="5:9" ht="13.2">
      <c r="E617" s="69"/>
      <c r="G617" s="69"/>
      <c r="I617" s="69"/>
    </row>
    <row r="618" spans="5:9" ht="13.2">
      <c r="E618" s="69"/>
      <c r="G618" s="69"/>
      <c r="I618" s="69"/>
    </row>
    <row r="619" spans="5:9" ht="13.2">
      <c r="E619" s="69"/>
      <c r="G619" s="69"/>
      <c r="I619" s="69"/>
    </row>
    <row r="620" spans="5:9" ht="13.2">
      <c r="E620" s="69"/>
      <c r="G620" s="69"/>
      <c r="I620" s="69"/>
    </row>
    <row r="621" spans="5:9" ht="13.2">
      <c r="E621" s="69"/>
      <c r="G621" s="69"/>
      <c r="I621" s="69"/>
    </row>
    <row r="622" spans="5:9" ht="13.2">
      <c r="E622" s="69"/>
      <c r="G622" s="69"/>
      <c r="I622" s="69"/>
    </row>
    <row r="623" spans="5:9" ht="13.2">
      <c r="E623" s="69"/>
      <c r="G623" s="69"/>
      <c r="I623" s="69"/>
    </row>
    <row r="624" spans="5:9" ht="13.2">
      <c r="E624" s="69"/>
      <c r="G624" s="69"/>
      <c r="I624" s="69"/>
    </row>
    <row r="625" spans="5:9" ht="13.2">
      <c r="E625" s="69"/>
      <c r="G625" s="69"/>
      <c r="I625" s="69"/>
    </row>
    <row r="626" spans="5:9" ht="13.2">
      <c r="E626" s="69"/>
      <c r="G626" s="69"/>
      <c r="I626" s="69"/>
    </row>
    <row r="627" spans="5:9" ht="13.2">
      <c r="E627" s="69"/>
      <c r="G627" s="69"/>
      <c r="I627" s="69"/>
    </row>
    <row r="628" spans="5:9" ht="13.2">
      <c r="E628" s="69"/>
      <c r="G628" s="69"/>
      <c r="I628" s="69"/>
    </row>
    <row r="629" spans="5:9" ht="13.2">
      <c r="E629" s="69"/>
      <c r="G629" s="69"/>
      <c r="I629" s="69"/>
    </row>
    <row r="630" spans="5:9" ht="13.2">
      <c r="E630" s="69"/>
      <c r="G630" s="69"/>
      <c r="I630" s="69"/>
    </row>
    <row r="631" spans="5:9" ht="13.2">
      <c r="E631" s="69"/>
      <c r="G631" s="69"/>
      <c r="I631" s="69"/>
    </row>
    <row r="632" spans="5:9" ht="13.2">
      <c r="E632" s="69"/>
      <c r="G632" s="69"/>
      <c r="I632" s="69"/>
    </row>
    <row r="633" spans="5:9" ht="13.2">
      <c r="E633" s="69"/>
      <c r="G633" s="69"/>
      <c r="I633" s="69"/>
    </row>
    <row r="634" spans="5:9" ht="13.2">
      <c r="E634" s="69"/>
      <c r="G634" s="69"/>
      <c r="I634" s="69"/>
    </row>
    <row r="635" spans="5:9" ht="13.2">
      <c r="E635" s="69"/>
      <c r="G635" s="69"/>
      <c r="I635" s="69"/>
    </row>
    <row r="636" spans="5:9" ht="13.2">
      <c r="E636" s="69"/>
      <c r="G636" s="69"/>
      <c r="I636" s="69"/>
    </row>
    <row r="637" spans="5:9" ht="13.2">
      <c r="E637" s="69"/>
      <c r="G637" s="69"/>
      <c r="I637" s="69"/>
    </row>
    <row r="638" spans="5:9" ht="13.2">
      <c r="E638" s="69"/>
      <c r="G638" s="69"/>
      <c r="I638" s="69"/>
    </row>
    <row r="639" spans="5:9" ht="13.2">
      <c r="E639" s="69"/>
      <c r="G639" s="69"/>
      <c r="I639" s="69"/>
    </row>
    <row r="640" spans="5:9" ht="13.2">
      <c r="E640" s="69"/>
      <c r="G640" s="69"/>
      <c r="I640" s="69"/>
    </row>
    <row r="641" spans="5:9" ht="13.2">
      <c r="E641" s="69"/>
      <c r="G641" s="69"/>
      <c r="I641" s="69"/>
    </row>
    <row r="642" spans="5:9" ht="13.2">
      <c r="E642" s="69"/>
      <c r="G642" s="69"/>
      <c r="I642" s="69"/>
    </row>
    <row r="643" spans="5:9" ht="13.2">
      <c r="E643" s="69"/>
      <c r="G643" s="69"/>
      <c r="I643" s="69"/>
    </row>
    <row r="644" spans="5:9" ht="13.2">
      <c r="E644" s="69"/>
      <c r="G644" s="69"/>
      <c r="I644" s="69"/>
    </row>
    <row r="645" spans="5:9" ht="13.2">
      <c r="E645" s="69"/>
      <c r="G645" s="69"/>
      <c r="I645" s="69"/>
    </row>
    <row r="646" spans="5:9" ht="13.2">
      <c r="E646" s="69"/>
      <c r="G646" s="69"/>
      <c r="I646" s="69"/>
    </row>
    <row r="647" spans="5:9" ht="13.2">
      <c r="E647" s="69"/>
      <c r="G647" s="69"/>
      <c r="I647" s="69"/>
    </row>
    <row r="648" spans="5:9" ht="13.2">
      <c r="E648" s="69"/>
      <c r="G648" s="69"/>
      <c r="I648" s="69"/>
    </row>
    <row r="649" spans="5:9" ht="13.2">
      <c r="E649" s="69"/>
      <c r="G649" s="69"/>
      <c r="I649" s="69"/>
    </row>
    <row r="650" spans="5:9" ht="13.2">
      <c r="E650" s="69"/>
      <c r="G650" s="69"/>
      <c r="I650" s="69"/>
    </row>
    <row r="651" spans="5:9" ht="13.2">
      <c r="E651" s="69"/>
      <c r="G651" s="69"/>
      <c r="I651" s="69"/>
    </row>
    <row r="652" spans="5:9" ht="13.2">
      <c r="E652" s="69"/>
      <c r="G652" s="69"/>
      <c r="I652" s="69"/>
    </row>
    <row r="653" spans="5:9" ht="13.2">
      <c r="E653" s="69"/>
      <c r="G653" s="69"/>
      <c r="I653" s="69"/>
    </row>
    <row r="654" spans="5:9" ht="13.2">
      <c r="E654" s="69"/>
      <c r="G654" s="69"/>
      <c r="I654" s="69"/>
    </row>
    <row r="655" spans="5:9" ht="13.2">
      <c r="E655" s="69"/>
      <c r="G655" s="69"/>
      <c r="I655" s="69"/>
    </row>
    <row r="656" spans="5:9" ht="13.2">
      <c r="E656" s="69"/>
      <c r="G656" s="69"/>
      <c r="I656" s="69"/>
    </row>
    <row r="657" spans="5:9" ht="13.2">
      <c r="E657" s="69"/>
      <c r="G657" s="69"/>
      <c r="I657" s="69"/>
    </row>
    <row r="658" spans="5:9" ht="13.2">
      <c r="E658" s="69"/>
      <c r="G658" s="69"/>
      <c r="I658" s="69"/>
    </row>
    <row r="659" spans="5:9" ht="13.2">
      <c r="E659" s="69"/>
      <c r="G659" s="69"/>
      <c r="I659" s="69"/>
    </row>
    <row r="660" spans="5:9" ht="13.2">
      <c r="E660" s="69"/>
      <c r="G660" s="69"/>
      <c r="I660" s="69"/>
    </row>
    <row r="661" spans="5:9" ht="13.2">
      <c r="E661" s="69"/>
      <c r="G661" s="69"/>
      <c r="I661" s="69"/>
    </row>
    <row r="662" spans="5:9" ht="13.2">
      <c r="E662" s="69"/>
      <c r="G662" s="69"/>
      <c r="I662" s="69"/>
    </row>
    <row r="663" spans="5:9" ht="13.2">
      <c r="E663" s="69"/>
      <c r="G663" s="69"/>
      <c r="I663" s="69"/>
    </row>
    <row r="664" spans="5:9" ht="13.2">
      <c r="E664" s="69"/>
      <c r="G664" s="69"/>
      <c r="I664" s="69"/>
    </row>
    <row r="665" spans="5:9" ht="13.2">
      <c r="E665" s="69"/>
      <c r="G665" s="69"/>
      <c r="I665" s="69"/>
    </row>
    <row r="666" spans="5:9" ht="13.2">
      <c r="E666" s="69"/>
      <c r="G666" s="69"/>
      <c r="I666" s="69"/>
    </row>
    <row r="667" spans="5:9" ht="13.2">
      <c r="E667" s="69"/>
      <c r="G667" s="69"/>
      <c r="I667" s="69"/>
    </row>
    <row r="668" spans="5:9" ht="13.2">
      <c r="E668" s="69"/>
      <c r="G668" s="69"/>
      <c r="I668" s="69"/>
    </row>
    <row r="669" spans="5:9" ht="13.2">
      <c r="E669" s="69"/>
      <c r="G669" s="69"/>
      <c r="I669" s="69"/>
    </row>
    <row r="670" spans="5:9" ht="13.2">
      <c r="E670" s="69"/>
      <c r="G670" s="69"/>
      <c r="I670" s="69"/>
    </row>
    <row r="671" spans="5:9" ht="13.2">
      <c r="E671" s="69"/>
      <c r="G671" s="69"/>
      <c r="I671" s="69"/>
    </row>
    <row r="672" spans="5:9" ht="13.2">
      <c r="E672" s="69"/>
      <c r="G672" s="69"/>
      <c r="I672" s="69"/>
    </row>
    <row r="673" spans="5:9" ht="13.2">
      <c r="E673" s="69"/>
      <c r="G673" s="69"/>
      <c r="I673" s="69"/>
    </row>
    <row r="674" spans="5:9" ht="13.2">
      <c r="E674" s="69"/>
      <c r="G674" s="69"/>
      <c r="I674" s="69"/>
    </row>
    <row r="675" spans="5:9" ht="13.2">
      <c r="E675" s="69"/>
      <c r="G675" s="69"/>
      <c r="I675" s="69"/>
    </row>
    <row r="676" spans="5:9" ht="13.2">
      <c r="E676" s="69"/>
      <c r="G676" s="69"/>
      <c r="I676" s="69"/>
    </row>
    <row r="677" spans="5:9" ht="13.2">
      <c r="E677" s="69"/>
      <c r="G677" s="69"/>
      <c r="I677" s="69"/>
    </row>
    <row r="678" spans="5:9" ht="13.2">
      <c r="E678" s="69"/>
      <c r="G678" s="69"/>
      <c r="I678" s="69"/>
    </row>
    <row r="679" spans="5:9" ht="13.2">
      <c r="E679" s="69"/>
      <c r="G679" s="69"/>
      <c r="I679" s="69"/>
    </row>
    <row r="680" spans="5:9" ht="13.2">
      <c r="E680" s="69"/>
      <c r="G680" s="69"/>
      <c r="I680" s="69"/>
    </row>
    <row r="681" spans="5:9" ht="13.2">
      <c r="E681" s="69"/>
      <c r="G681" s="69"/>
      <c r="I681" s="69"/>
    </row>
    <row r="682" spans="5:9" ht="13.2">
      <c r="E682" s="69"/>
      <c r="G682" s="69"/>
      <c r="I682" s="69"/>
    </row>
    <row r="683" spans="5:9" ht="13.2">
      <c r="E683" s="69"/>
      <c r="G683" s="69"/>
      <c r="I683" s="69"/>
    </row>
    <row r="684" spans="5:9" ht="13.2">
      <c r="E684" s="69"/>
      <c r="G684" s="69"/>
      <c r="I684" s="69"/>
    </row>
    <row r="685" spans="5:9" ht="13.2">
      <c r="E685" s="69"/>
      <c r="G685" s="69"/>
      <c r="I685" s="69"/>
    </row>
    <row r="686" spans="5:9" ht="13.2">
      <c r="E686" s="69"/>
      <c r="G686" s="69"/>
      <c r="I686" s="69"/>
    </row>
    <row r="687" spans="5:9" ht="13.2">
      <c r="E687" s="69"/>
      <c r="G687" s="69"/>
      <c r="I687" s="69"/>
    </row>
    <row r="688" spans="5:9" ht="13.2">
      <c r="E688" s="69"/>
      <c r="G688" s="69"/>
      <c r="I688" s="69"/>
    </row>
    <row r="689" spans="5:9" ht="13.2">
      <c r="E689" s="69"/>
      <c r="G689" s="69"/>
      <c r="I689" s="69"/>
    </row>
    <row r="690" spans="5:9" ht="13.2">
      <c r="E690" s="69"/>
      <c r="G690" s="69"/>
      <c r="I690" s="69"/>
    </row>
    <row r="691" spans="5:9" ht="13.2">
      <c r="E691" s="69"/>
      <c r="G691" s="69"/>
      <c r="I691" s="69"/>
    </row>
    <row r="692" spans="5:9" ht="13.2">
      <c r="E692" s="69"/>
      <c r="G692" s="69"/>
      <c r="I692" s="69"/>
    </row>
    <row r="693" spans="5:9" ht="13.2">
      <c r="E693" s="69"/>
      <c r="G693" s="69"/>
      <c r="I693" s="69"/>
    </row>
    <row r="694" spans="5:9" ht="13.2">
      <c r="E694" s="69"/>
      <c r="G694" s="69"/>
      <c r="I694" s="69"/>
    </row>
    <row r="695" spans="5:9" ht="13.2">
      <c r="E695" s="69"/>
      <c r="G695" s="69"/>
      <c r="I695" s="69"/>
    </row>
    <row r="696" spans="5:9" ht="13.2">
      <c r="E696" s="69"/>
      <c r="G696" s="69"/>
      <c r="I696" s="69"/>
    </row>
    <row r="697" spans="5:9" ht="13.2">
      <c r="E697" s="69"/>
      <c r="G697" s="69"/>
      <c r="I697" s="69"/>
    </row>
    <row r="698" spans="5:9" ht="13.2">
      <c r="E698" s="69"/>
      <c r="G698" s="69"/>
      <c r="I698" s="69"/>
    </row>
    <row r="699" spans="5:9" ht="13.2">
      <c r="E699" s="69"/>
      <c r="G699" s="69"/>
      <c r="I699" s="69"/>
    </row>
    <row r="700" spans="5:9" ht="13.2">
      <c r="E700" s="69"/>
      <c r="G700" s="69"/>
      <c r="I700" s="69"/>
    </row>
    <row r="701" spans="5:9" ht="13.2">
      <c r="E701" s="69"/>
      <c r="G701" s="69"/>
      <c r="I701" s="69"/>
    </row>
    <row r="702" spans="5:9" ht="13.2">
      <c r="E702" s="69"/>
      <c r="G702" s="69"/>
      <c r="I702" s="69"/>
    </row>
    <row r="703" spans="5:9" ht="13.2">
      <c r="E703" s="69"/>
      <c r="G703" s="69"/>
      <c r="I703" s="69"/>
    </row>
    <row r="704" spans="5:9" ht="13.2">
      <c r="E704" s="69"/>
      <c r="G704" s="69"/>
      <c r="I704" s="69"/>
    </row>
    <row r="705" spans="5:9" ht="13.2">
      <c r="E705" s="69"/>
      <c r="G705" s="69"/>
      <c r="I705" s="69"/>
    </row>
    <row r="706" spans="5:9" ht="13.2">
      <c r="E706" s="69"/>
      <c r="G706" s="69"/>
      <c r="I706" s="69"/>
    </row>
    <row r="707" spans="5:9" ht="13.2">
      <c r="E707" s="69"/>
      <c r="G707" s="69"/>
      <c r="I707" s="69"/>
    </row>
    <row r="708" spans="5:9" ht="13.2">
      <c r="E708" s="69"/>
      <c r="G708" s="69"/>
      <c r="I708" s="69"/>
    </row>
    <row r="709" spans="5:9" ht="13.2">
      <c r="E709" s="69"/>
      <c r="G709" s="69"/>
      <c r="I709" s="69"/>
    </row>
    <row r="710" spans="5:9" ht="13.2">
      <c r="E710" s="69"/>
      <c r="G710" s="69"/>
      <c r="I710" s="69"/>
    </row>
    <row r="711" spans="5:9" ht="13.2">
      <c r="E711" s="69"/>
      <c r="G711" s="69"/>
      <c r="I711" s="69"/>
    </row>
    <row r="712" spans="5:9" ht="13.2">
      <c r="E712" s="69"/>
      <c r="G712" s="69"/>
      <c r="I712" s="69"/>
    </row>
    <row r="713" spans="5:9" ht="13.2">
      <c r="E713" s="69"/>
      <c r="G713" s="69"/>
      <c r="I713" s="69"/>
    </row>
    <row r="714" spans="5:9" ht="13.2">
      <c r="E714" s="69"/>
      <c r="G714" s="69"/>
      <c r="I714" s="69"/>
    </row>
    <row r="715" spans="5:9" ht="13.2">
      <c r="E715" s="69"/>
      <c r="G715" s="69"/>
      <c r="I715" s="69"/>
    </row>
    <row r="716" spans="5:9" ht="13.2">
      <c r="E716" s="69"/>
      <c r="G716" s="69"/>
      <c r="I716" s="69"/>
    </row>
    <row r="717" spans="5:9" ht="13.2">
      <c r="E717" s="69"/>
      <c r="G717" s="69"/>
      <c r="I717" s="69"/>
    </row>
    <row r="718" spans="5:9" ht="13.2">
      <c r="E718" s="69"/>
      <c r="G718" s="69"/>
      <c r="I718" s="69"/>
    </row>
    <row r="719" spans="5:9" ht="13.2">
      <c r="E719" s="69"/>
      <c r="G719" s="69"/>
      <c r="I719" s="69"/>
    </row>
    <row r="720" spans="5:9" ht="13.2">
      <c r="E720" s="69"/>
      <c r="G720" s="69"/>
      <c r="I720" s="69"/>
    </row>
    <row r="721" spans="5:9" ht="13.2">
      <c r="E721" s="69"/>
      <c r="G721" s="69"/>
      <c r="I721" s="69"/>
    </row>
    <row r="722" spans="5:9" ht="13.2">
      <c r="E722" s="69"/>
      <c r="G722" s="69"/>
      <c r="I722" s="69"/>
    </row>
    <row r="723" spans="5:9" ht="13.2">
      <c r="E723" s="69"/>
      <c r="G723" s="69"/>
      <c r="I723" s="69"/>
    </row>
    <row r="724" spans="5:9" ht="13.2">
      <c r="E724" s="69"/>
      <c r="G724" s="69"/>
      <c r="I724" s="69"/>
    </row>
    <row r="725" spans="5:9" ht="13.2">
      <c r="E725" s="69"/>
      <c r="G725" s="69"/>
      <c r="I725" s="69"/>
    </row>
    <row r="726" spans="5:9" ht="13.2">
      <c r="E726" s="69"/>
      <c r="G726" s="69"/>
      <c r="I726" s="69"/>
    </row>
    <row r="727" spans="5:9" ht="13.2">
      <c r="E727" s="69"/>
      <c r="G727" s="69"/>
      <c r="I727" s="69"/>
    </row>
    <row r="728" spans="5:9" ht="13.2">
      <c r="E728" s="69"/>
      <c r="G728" s="69"/>
      <c r="I728" s="69"/>
    </row>
    <row r="729" spans="5:9" ht="13.2">
      <c r="E729" s="69"/>
      <c r="G729" s="69"/>
      <c r="I729" s="69"/>
    </row>
    <row r="730" spans="5:9" ht="13.2">
      <c r="E730" s="69"/>
      <c r="G730" s="69"/>
      <c r="I730" s="69"/>
    </row>
    <row r="731" spans="5:9" ht="13.2">
      <c r="E731" s="69"/>
      <c r="G731" s="69"/>
      <c r="I731" s="69"/>
    </row>
    <row r="732" spans="5:9" ht="13.2">
      <c r="E732" s="69"/>
      <c r="G732" s="69"/>
      <c r="I732" s="69"/>
    </row>
    <row r="733" spans="5:9" ht="13.2">
      <c r="E733" s="69"/>
      <c r="G733" s="69"/>
      <c r="I733" s="69"/>
    </row>
    <row r="734" spans="5:9" ht="13.2">
      <c r="E734" s="69"/>
      <c r="G734" s="69"/>
      <c r="I734" s="69"/>
    </row>
    <row r="735" spans="5:9" ht="13.2">
      <c r="E735" s="69"/>
      <c r="G735" s="69"/>
      <c r="I735" s="69"/>
    </row>
    <row r="736" spans="5:9" ht="13.2">
      <c r="E736" s="69"/>
      <c r="G736" s="69"/>
      <c r="I736" s="69"/>
    </row>
    <row r="737" spans="5:9" ht="13.2">
      <c r="E737" s="69"/>
      <c r="G737" s="69"/>
      <c r="I737" s="69"/>
    </row>
    <row r="738" spans="5:9" ht="13.2">
      <c r="E738" s="69"/>
      <c r="G738" s="69"/>
      <c r="I738" s="69"/>
    </row>
    <row r="739" spans="5:9" ht="13.2">
      <c r="E739" s="69"/>
      <c r="G739" s="69"/>
      <c r="I739" s="69"/>
    </row>
    <row r="740" spans="5:9" ht="13.2">
      <c r="E740" s="69"/>
      <c r="G740" s="69"/>
      <c r="I740" s="69"/>
    </row>
    <row r="741" spans="5:9" ht="13.2">
      <c r="E741" s="69"/>
      <c r="G741" s="69"/>
      <c r="I741" s="69"/>
    </row>
    <row r="742" spans="5:9" ht="13.2">
      <c r="E742" s="69"/>
      <c r="G742" s="69"/>
      <c r="I742" s="69"/>
    </row>
    <row r="743" spans="5:9" ht="13.2">
      <c r="E743" s="69"/>
      <c r="G743" s="69"/>
      <c r="I743" s="69"/>
    </row>
    <row r="744" spans="5:9" ht="13.2">
      <c r="E744" s="69"/>
      <c r="G744" s="69"/>
      <c r="I744" s="69"/>
    </row>
    <row r="745" spans="5:9" ht="13.2">
      <c r="E745" s="69"/>
      <c r="G745" s="69"/>
      <c r="I745" s="69"/>
    </row>
    <row r="746" spans="5:9" ht="13.2">
      <c r="E746" s="69"/>
      <c r="G746" s="69"/>
      <c r="I746" s="69"/>
    </row>
    <row r="747" spans="5:9" ht="13.2">
      <c r="E747" s="69"/>
      <c r="G747" s="69"/>
      <c r="I747" s="69"/>
    </row>
    <row r="748" spans="5:9" ht="13.2">
      <c r="E748" s="69"/>
      <c r="G748" s="69"/>
      <c r="I748" s="69"/>
    </row>
    <row r="749" spans="5:9" ht="13.2">
      <c r="E749" s="69"/>
      <c r="G749" s="69"/>
      <c r="I749" s="69"/>
    </row>
    <row r="750" spans="5:9" ht="13.2">
      <c r="E750" s="69"/>
      <c r="G750" s="69"/>
      <c r="I750" s="69"/>
    </row>
    <row r="751" spans="5:9" ht="13.2">
      <c r="E751" s="69"/>
      <c r="G751" s="69"/>
      <c r="I751" s="69"/>
    </row>
    <row r="752" spans="5:9" ht="13.2">
      <c r="E752" s="69"/>
      <c r="G752" s="69"/>
      <c r="I752" s="69"/>
    </row>
    <row r="753" spans="5:9" ht="13.2">
      <c r="E753" s="69"/>
      <c r="G753" s="69"/>
      <c r="I753" s="69"/>
    </row>
    <row r="754" spans="5:9" ht="13.2">
      <c r="E754" s="69"/>
      <c r="G754" s="69"/>
      <c r="I754" s="69"/>
    </row>
    <row r="755" spans="5:9" ht="13.2">
      <c r="E755" s="69"/>
      <c r="G755" s="69"/>
      <c r="I755" s="69"/>
    </row>
    <row r="756" spans="5:9" ht="13.2">
      <c r="E756" s="69"/>
      <c r="G756" s="69"/>
      <c r="I756" s="69"/>
    </row>
    <row r="757" spans="5:9" ht="13.2">
      <c r="E757" s="69"/>
      <c r="G757" s="69"/>
      <c r="I757" s="69"/>
    </row>
    <row r="758" spans="5:9" ht="13.2">
      <c r="E758" s="69"/>
      <c r="G758" s="69"/>
      <c r="I758" s="69"/>
    </row>
    <row r="759" spans="5:9" ht="13.2">
      <c r="E759" s="69"/>
      <c r="G759" s="69"/>
      <c r="I759" s="69"/>
    </row>
    <row r="760" spans="5:9" ht="13.2">
      <c r="E760" s="69"/>
      <c r="G760" s="69"/>
      <c r="I760" s="69"/>
    </row>
    <row r="761" spans="5:9" ht="13.2">
      <c r="E761" s="69"/>
      <c r="G761" s="69"/>
      <c r="I761" s="69"/>
    </row>
    <row r="762" spans="5:9" ht="13.2">
      <c r="E762" s="69"/>
      <c r="G762" s="69"/>
      <c r="I762" s="69"/>
    </row>
    <row r="763" spans="5:9" ht="13.2">
      <c r="E763" s="69"/>
      <c r="G763" s="69"/>
      <c r="I763" s="69"/>
    </row>
    <row r="764" spans="5:9" ht="13.2">
      <c r="E764" s="69"/>
      <c r="G764" s="69"/>
      <c r="I764" s="69"/>
    </row>
    <row r="765" spans="5:9" ht="13.2">
      <c r="E765" s="69"/>
      <c r="G765" s="69"/>
      <c r="I765" s="69"/>
    </row>
    <row r="766" spans="5:9" ht="13.2">
      <c r="E766" s="69"/>
      <c r="G766" s="69"/>
      <c r="I766" s="69"/>
    </row>
    <row r="767" spans="5:9" ht="13.2">
      <c r="E767" s="69"/>
      <c r="G767" s="69"/>
      <c r="I767" s="69"/>
    </row>
    <row r="768" spans="5:9" ht="13.2">
      <c r="E768" s="69"/>
      <c r="G768" s="69"/>
      <c r="I768" s="69"/>
    </row>
    <row r="769" spans="5:9" ht="13.2">
      <c r="E769" s="69"/>
      <c r="G769" s="69"/>
      <c r="I769" s="69"/>
    </row>
    <row r="770" spans="5:9" ht="13.2">
      <c r="E770" s="69"/>
      <c r="G770" s="69"/>
      <c r="I770" s="69"/>
    </row>
    <row r="771" spans="5:9" ht="13.2">
      <c r="E771" s="69"/>
      <c r="G771" s="69"/>
      <c r="I771" s="69"/>
    </row>
    <row r="772" spans="5:9" ht="13.2">
      <c r="E772" s="69"/>
      <c r="G772" s="69"/>
      <c r="I772" s="69"/>
    </row>
    <row r="773" spans="5:9" ht="13.2">
      <c r="E773" s="69"/>
      <c r="G773" s="69"/>
      <c r="I773" s="69"/>
    </row>
    <row r="774" spans="5:9" ht="13.2">
      <c r="E774" s="69"/>
      <c r="G774" s="69"/>
      <c r="I774" s="69"/>
    </row>
    <row r="775" spans="5:9" ht="13.2">
      <c r="E775" s="69"/>
      <c r="G775" s="69"/>
      <c r="I775" s="69"/>
    </row>
    <row r="776" spans="5:9" ht="13.2">
      <c r="E776" s="69"/>
      <c r="G776" s="69"/>
      <c r="I776" s="69"/>
    </row>
    <row r="777" spans="5:9" ht="13.2">
      <c r="E777" s="69"/>
      <c r="G777" s="69"/>
      <c r="I777" s="69"/>
    </row>
    <row r="778" spans="5:9" ht="13.2">
      <c r="E778" s="69"/>
      <c r="G778" s="69"/>
      <c r="I778" s="69"/>
    </row>
    <row r="779" spans="5:9" ht="13.2">
      <c r="E779" s="69"/>
      <c r="G779" s="69"/>
      <c r="I779" s="69"/>
    </row>
    <row r="780" spans="5:9" ht="13.2">
      <c r="E780" s="69"/>
      <c r="G780" s="69"/>
      <c r="I780" s="69"/>
    </row>
    <row r="781" spans="5:9" ht="13.2">
      <c r="E781" s="69"/>
      <c r="G781" s="69"/>
      <c r="I781" s="69"/>
    </row>
    <row r="782" spans="5:9" ht="13.2">
      <c r="E782" s="69"/>
      <c r="G782" s="69"/>
      <c r="I782" s="69"/>
    </row>
    <row r="783" spans="5:9" ht="13.2">
      <c r="E783" s="69"/>
      <c r="G783" s="69"/>
      <c r="I783" s="69"/>
    </row>
    <row r="784" spans="5:9" ht="13.2">
      <c r="E784" s="69"/>
      <c r="G784" s="69"/>
      <c r="I784" s="69"/>
    </row>
    <row r="785" spans="5:9" ht="13.2">
      <c r="E785" s="69"/>
      <c r="G785" s="69"/>
      <c r="I785" s="69"/>
    </row>
    <row r="786" spans="5:9" ht="13.2">
      <c r="E786" s="69"/>
      <c r="G786" s="69"/>
      <c r="I786" s="69"/>
    </row>
    <row r="787" spans="5:9" ht="13.2">
      <c r="E787" s="69"/>
      <c r="G787" s="69"/>
      <c r="I787" s="69"/>
    </row>
    <row r="788" spans="5:9" ht="13.2">
      <c r="E788" s="69"/>
      <c r="G788" s="69"/>
      <c r="I788" s="69"/>
    </row>
    <row r="789" spans="5:9" ht="13.2">
      <c r="E789" s="69"/>
      <c r="G789" s="69"/>
      <c r="I789" s="69"/>
    </row>
    <row r="790" spans="5:9" ht="13.2">
      <c r="E790" s="69"/>
      <c r="G790" s="69"/>
      <c r="I790" s="69"/>
    </row>
    <row r="791" spans="5:9" ht="13.2">
      <c r="E791" s="69"/>
      <c r="G791" s="69"/>
      <c r="I791" s="69"/>
    </row>
    <row r="792" spans="5:9" ht="13.2">
      <c r="E792" s="69"/>
      <c r="G792" s="69"/>
      <c r="I792" s="69"/>
    </row>
    <row r="793" spans="5:9" ht="13.2">
      <c r="E793" s="69"/>
      <c r="G793" s="69"/>
      <c r="I793" s="69"/>
    </row>
    <row r="794" spans="5:9" ht="13.2">
      <c r="E794" s="69"/>
      <c r="G794" s="69"/>
      <c r="I794" s="69"/>
    </row>
    <row r="795" spans="5:9" ht="13.2">
      <c r="E795" s="69"/>
      <c r="G795" s="69"/>
      <c r="I795" s="69"/>
    </row>
    <row r="796" spans="5:9" ht="13.2">
      <c r="E796" s="69"/>
      <c r="G796" s="69"/>
      <c r="I796" s="69"/>
    </row>
    <row r="797" spans="5:9" ht="13.2">
      <c r="E797" s="69"/>
      <c r="G797" s="69"/>
      <c r="I797" s="69"/>
    </row>
    <row r="798" spans="5:9" ht="13.2">
      <c r="E798" s="69"/>
      <c r="G798" s="69"/>
      <c r="I798" s="69"/>
    </row>
    <row r="799" spans="5:9" ht="13.2">
      <c r="E799" s="69"/>
      <c r="G799" s="69"/>
      <c r="I799" s="69"/>
    </row>
    <row r="800" spans="5:9" ht="13.2">
      <c r="E800" s="69"/>
      <c r="G800" s="69"/>
      <c r="I800" s="69"/>
    </row>
    <row r="801" spans="5:9" ht="13.2">
      <c r="E801" s="69"/>
      <c r="G801" s="69"/>
      <c r="I801" s="69"/>
    </row>
    <row r="802" spans="5:9" ht="13.2">
      <c r="E802" s="69"/>
      <c r="G802" s="69"/>
      <c r="I802" s="69"/>
    </row>
    <row r="803" spans="5:9" ht="13.2">
      <c r="E803" s="69"/>
      <c r="G803" s="69"/>
      <c r="I803" s="69"/>
    </row>
    <row r="804" spans="5:9" ht="13.2">
      <c r="E804" s="69"/>
      <c r="G804" s="69"/>
      <c r="I804" s="69"/>
    </row>
    <row r="805" spans="5:9" ht="13.2">
      <c r="E805" s="69"/>
      <c r="G805" s="69"/>
      <c r="I805" s="69"/>
    </row>
    <row r="806" spans="5:9" ht="13.2">
      <c r="E806" s="69"/>
      <c r="G806" s="69"/>
      <c r="I806" s="69"/>
    </row>
    <row r="807" spans="5:9" ht="13.2">
      <c r="E807" s="69"/>
      <c r="G807" s="69"/>
      <c r="I807" s="69"/>
    </row>
    <row r="808" spans="5:9" ht="13.2">
      <c r="E808" s="69"/>
      <c r="G808" s="69"/>
      <c r="I808" s="69"/>
    </row>
    <row r="809" spans="5:9" ht="13.2">
      <c r="E809" s="69"/>
      <c r="G809" s="69"/>
      <c r="I809" s="69"/>
    </row>
    <row r="810" spans="5:9" ht="13.2">
      <c r="E810" s="69"/>
      <c r="G810" s="69"/>
      <c r="I810" s="69"/>
    </row>
    <row r="811" spans="5:9" ht="13.2">
      <c r="E811" s="69"/>
      <c r="G811" s="69"/>
      <c r="I811" s="69"/>
    </row>
    <row r="812" spans="5:9" ht="13.2">
      <c r="E812" s="69"/>
      <c r="G812" s="69"/>
      <c r="I812" s="69"/>
    </row>
    <row r="813" spans="5:9" ht="13.2">
      <c r="E813" s="69"/>
      <c r="G813" s="69"/>
      <c r="I813" s="69"/>
    </row>
    <row r="814" spans="5:9" ht="13.2">
      <c r="E814" s="69"/>
      <c r="G814" s="69"/>
      <c r="I814" s="69"/>
    </row>
    <row r="815" spans="5:9" ht="13.2">
      <c r="E815" s="69"/>
      <c r="G815" s="69"/>
      <c r="I815" s="69"/>
    </row>
    <row r="816" spans="5:9" ht="13.2">
      <c r="E816" s="69"/>
      <c r="G816" s="69"/>
      <c r="I816" s="69"/>
    </row>
    <row r="817" spans="5:9" ht="13.2">
      <c r="E817" s="69"/>
      <c r="G817" s="69"/>
      <c r="I817" s="69"/>
    </row>
    <row r="818" spans="5:9" ht="13.2">
      <c r="E818" s="69"/>
      <c r="G818" s="69"/>
      <c r="I818" s="69"/>
    </row>
    <row r="819" spans="5:9" ht="13.2">
      <c r="E819" s="69"/>
      <c r="G819" s="69"/>
      <c r="I819" s="69"/>
    </row>
    <row r="820" spans="5:9" ht="13.2">
      <c r="E820" s="69"/>
      <c r="G820" s="69"/>
      <c r="I820" s="69"/>
    </row>
    <row r="821" spans="5:9" ht="13.2">
      <c r="E821" s="69"/>
      <c r="G821" s="69"/>
      <c r="I821" s="69"/>
    </row>
    <row r="822" spans="5:9" ht="13.2">
      <c r="E822" s="69"/>
      <c r="G822" s="69"/>
      <c r="I822" s="69"/>
    </row>
    <row r="823" spans="5:9" ht="13.2">
      <c r="E823" s="69"/>
      <c r="G823" s="69"/>
      <c r="I823" s="69"/>
    </row>
    <row r="824" spans="5:9" ht="13.2">
      <c r="E824" s="69"/>
      <c r="G824" s="69"/>
      <c r="I824" s="69"/>
    </row>
    <row r="825" spans="5:9" ht="13.2">
      <c r="E825" s="69"/>
      <c r="G825" s="69"/>
      <c r="I825" s="69"/>
    </row>
    <row r="826" spans="5:9" ht="13.2">
      <c r="E826" s="69"/>
      <c r="G826" s="69"/>
      <c r="I826" s="69"/>
    </row>
    <row r="827" spans="5:9" ht="13.2">
      <c r="E827" s="69"/>
      <c r="G827" s="69"/>
      <c r="I827" s="69"/>
    </row>
    <row r="828" spans="5:9" ht="13.2">
      <c r="E828" s="69"/>
      <c r="G828" s="69"/>
      <c r="I828" s="69"/>
    </row>
    <row r="829" spans="5:9" ht="13.2">
      <c r="E829" s="69"/>
      <c r="G829" s="69"/>
      <c r="I829" s="69"/>
    </row>
    <row r="830" spans="5:9" ht="13.2">
      <c r="E830" s="69"/>
      <c r="G830" s="69"/>
      <c r="I830" s="69"/>
    </row>
    <row r="831" spans="5:9" ht="13.2">
      <c r="E831" s="69"/>
      <c r="G831" s="69"/>
      <c r="I831" s="69"/>
    </row>
    <row r="832" spans="5:9" ht="13.2">
      <c r="E832" s="69"/>
      <c r="G832" s="69"/>
      <c r="I832" s="69"/>
    </row>
    <row r="833" spans="5:9" ht="13.2">
      <c r="E833" s="69"/>
      <c r="G833" s="69"/>
      <c r="I833" s="69"/>
    </row>
    <row r="834" spans="5:9" ht="13.2">
      <c r="E834" s="69"/>
      <c r="G834" s="69"/>
      <c r="I834" s="69"/>
    </row>
    <row r="835" spans="5:9" ht="13.2">
      <c r="E835" s="69"/>
      <c r="G835" s="69"/>
      <c r="I835" s="69"/>
    </row>
    <row r="836" spans="5:9" ht="13.2">
      <c r="E836" s="69"/>
      <c r="G836" s="69"/>
      <c r="I836" s="69"/>
    </row>
    <row r="837" spans="5:9" ht="13.2">
      <c r="E837" s="69"/>
      <c r="G837" s="69"/>
      <c r="I837" s="69"/>
    </row>
    <row r="838" spans="5:9" ht="13.2">
      <c r="E838" s="69"/>
      <c r="G838" s="69"/>
      <c r="I838" s="69"/>
    </row>
    <row r="839" spans="5:9" ht="13.2">
      <c r="E839" s="69"/>
      <c r="G839" s="69"/>
      <c r="I839" s="69"/>
    </row>
    <row r="840" spans="5:9" ht="13.2">
      <c r="E840" s="69"/>
      <c r="G840" s="69"/>
      <c r="I840" s="69"/>
    </row>
    <row r="841" spans="5:9" ht="13.2">
      <c r="E841" s="69"/>
      <c r="G841" s="69"/>
      <c r="I841" s="69"/>
    </row>
    <row r="842" spans="5:9" ht="13.2">
      <c r="E842" s="69"/>
      <c r="G842" s="69"/>
      <c r="I842" s="69"/>
    </row>
    <row r="843" spans="5:9" ht="13.2">
      <c r="E843" s="69"/>
      <c r="G843" s="69"/>
      <c r="I843" s="69"/>
    </row>
    <row r="844" spans="5:9" ht="13.2">
      <c r="E844" s="69"/>
      <c r="G844" s="69"/>
      <c r="I844" s="69"/>
    </row>
    <row r="845" spans="5:9" ht="13.2">
      <c r="E845" s="69"/>
      <c r="G845" s="69"/>
      <c r="I845" s="69"/>
    </row>
    <row r="846" spans="5:9" ht="13.2">
      <c r="E846" s="69"/>
      <c r="G846" s="69"/>
      <c r="I846" s="69"/>
    </row>
    <row r="847" spans="5:9" ht="13.2">
      <c r="E847" s="69"/>
      <c r="G847" s="69"/>
      <c r="I847" s="69"/>
    </row>
    <row r="848" spans="5:9" ht="13.2">
      <c r="E848" s="69"/>
      <c r="G848" s="69"/>
      <c r="I848" s="69"/>
    </row>
    <row r="849" spans="5:9" ht="13.2">
      <c r="E849" s="69"/>
      <c r="G849" s="69"/>
      <c r="I849" s="69"/>
    </row>
    <row r="850" spans="5:9" ht="13.2">
      <c r="E850" s="69"/>
      <c r="G850" s="69"/>
      <c r="I850" s="69"/>
    </row>
    <row r="851" spans="5:9" ht="13.2">
      <c r="E851" s="69"/>
      <c r="G851" s="69"/>
      <c r="I851" s="69"/>
    </row>
    <row r="852" spans="5:9" ht="13.2">
      <c r="E852" s="69"/>
      <c r="G852" s="69"/>
      <c r="I852" s="69"/>
    </row>
    <row r="853" spans="5:9" ht="13.2">
      <c r="E853" s="69"/>
      <c r="G853" s="69"/>
      <c r="I853" s="69"/>
    </row>
    <row r="854" spans="5:9" ht="13.2">
      <c r="E854" s="69"/>
      <c r="G854" s="69"/>
      <c r="I854" s="69"/>
    </row>
    <row r="855" spans="5:9" ht="13.2">
      <c r="E855" s="69"/>
      <c r="G855" s="69"/>
      <c r="I855" s="69"/>
    </row>
    <row r="856" spans="5:9" ht="13.2">
      <c r="E856" s="69"/>
      <c r="G856" s="69"/>
      <c r="I856" s="69"/>
    </row>
    <row r="857" spans="5:9" ht="13.2">
      <c r="E857" s="69"/>
      <c r="G857" s="69"/>
      <c r="I857" s="69"/>
    </row>
    <row r="858" spans="5:9" ht="13.2">
      <c r="E858" s="69"/>
      <c r="G858" s="69"/>
      <c r="I858" s="69"/>
    </row>
    <row r="859" spans="5:9" ht="13.2">
      <c r="E859" s="69"/>
      <c r="G859" s="69"/>
      <c r="I859" s="69"/>
    </row>
    <row r="860" spans="5:9" ht="13.2">
      <c r="E860" s="69"/>
      <c r="G860" s="69"/>
      <c r="I860" s="69"/>
    </row>
    <row r="861" spans="5:9" ht="13.2">
      <c r="E861" s="69"/>
      <c r="G861" s="69"/>
      <c r="I861" s="69"/>
    </row>
    <row r="862" spans="5:9" ht="13.2">
      <c r="E862" s="69"/>
      <c r="G862" s="69"/>
      <c r="I862" s="69"/>
    </row>
    <row r="863" spans="5:9" ht="13.2">
      <c r="E863" s="69"/>
      <c r="G863" s="69"/>
      <c r="I863" s="69"/>
    </row>
    <row r="864" spans="5:9" ht="13.2">
      <c r="E864" s="69"/>
      <c r="G864" s="69"/>
      <c r="I864" s="69"/>
    </row>
    <row r="865" spans="5:9" ht="13.2">
      <c r="E865" s="69"/>
      <c r="G865" s="69"/>
      <c r="I865" s="69"/>
    </row>
    <row r="866" spans="5:9" ht="13.2">
      <c r="E866" s="69"/>
      <c r="G866" s="69"/>
      <c r="I866" s="69"/>
    </row>
    <row r="867" spans="5:9" ht="13.2">
      <c r="E867" s="69"/>
      <c r="G867" s="69"/>
      <c r="I867" s="69"/>
    </row>
    <row r="868" spans="5:9" ht="13.2">
      <c r="E868" s="69"/>
      <c r="G868" s="69"/>
      <c r="I868" s="69"/>
    </row>
    <row r="869" spans="5:9" ht="13.2">
      <c r="E869" s="69"/>
      <c r="G869" s="69"/>
      <c r="I869" s="69"/>
    </row>
    <row r="870" spans="5:9" ht="13.2">
      <c r="E870" s="69"/>
      <c r="G870" s="69"/>
      <c r="I870" s="69"/>
    </row>
    <row r="871" spans="5:9" ht="13.2">
      <c r="E871" s="69"/>
      <c r="G871" s="69"/>
      <c r="I871" s="69"/>
    </row>
    <row r="872" spans="5:9" ht="13.2">
      <c r="E872" s="69"/>
      <c r="G872" s="69"/>
      <c r="I872" s="69"/>
    </row>
    <row r="873" spans="5:9" ht="13.2">
      <c r="E873" s="69"/>
      <c r="G873" s="69"/>
      <c r="I873" s="69"/>
    </row>
    <row r="874" spans="5:9" ht="13.2">
      <c r="E874" s="69"/>
      <c r="G874" s="69"/>
      <c r="I874" s="69"/>
    </row>
    <row r="875" spans="5:9" ht="13.2">
      <c r="E875" s="69"/>
      <c r="G875" s="69"/>
      <c r="I875" s="69"/>
    </row>
    <row r="876" spans="5:9" ht="13.2">
      <c r="E876" s="69"/>
      <c r="G876" s="69"/>
      <c r="I876" s="69"/>
    </row>
    <row r="877" spans="5:9" ht="13.2">
      <c r="E877" s="69"/>
      <c r="G877" s="69"/>
      <c r="I877" s="69"/>
    </row>
    <row r="878" spans="5:9" ht="13.2">
      <c r="E878" s="69"/>
      <c r="G878" s="69"/>
      <c r="I878" s="69"/>
    </row>
    <row r="879" spans="5:9" ht="13.2">
      <c r="E879" s="69"/>
      <c r="G879" s="69"/>
      <c r="I879" s="69"/>
    </row>
    <row r="880" spans="5:9" ht="13.2">
      <c r="E880" s="69"/>
      <c r="G880" s="69"/>
      <c r="I880" s="69"/>
    </row>
    <row r="881" spans="5:9" ht="13.2">
      <c r="E881" s="69"/>
      <c r="G881" s="69"/>
      <c r="I881" s="69"/>
    </row>
    <row r="882" spans="5:9" ht="13.2">
      <c r="E882" s="69"/>
      <c r="G882" s="69"/>
      <c r="I882" s="69"/>
    </row>
    <row r="883" spans="5:9" ht="13.2">
      <c r="E883" s="69"/>
      <c r="G883" s="69"/>
      <c r="I883" s="69"/>
    </row>
    <row r="884" spans="5:9" ht="13.2">
      <c r="E884" s="69"/>
      <c r="G884" s="69"/>
      <c r="I884" s="69"/>
    </row>
    <row r="885" spans="5:9" ht="13.2">
      <c r="E885" s="69"/>
      <c r="G885" s="69"/>
      <c r="I885" s="69"/>
    </row>
    <row r="886" spans="5:9" ht="13.2">
      <c r="E886" s="69"/>
      <c r="G886" s="69"/>
      <c r="I886" s="69"/>
    </row>
    <row r="887" spans="5:9" ht="13.2">
      <c r="E887" s="69"/>
      <c r="G887" s="69"/>
      <c r="I887" s="69"/>
    </row>
    <row r="888" spans="5:9" ht="13.2">
      <c r="E888" s="69"/>
      <c r="G888" s="69"/>
      <c r="I888" s="69"/>
    </row>
    <row r="889" spans="5:9" ht="13.2">
      <c r="E889" s="69"/>
      <c r="G889" s="69"/>
      <c r="I889" s="69"/>
    </row>
    <row r="890" spans="5:9" ht="13.2">
      <c r="E890" s="69"/>
      <c r="G890" s="69"/>
      <c r="I890" s="69"/>
    </row>
    <row r="891" spans="5:9" ht="13.2">
      <c r="E891" s="69"/>
      <c r="G891" s="69"/>
      <c r="I891" s="69"/>
    </row>
    <row r="892" spans="5:9" ht="13.2">
      <c r="E892" s="69"/>
      <c r="G892" s="69"/>
      <c r="I892" s="69"/>
    </row>
    <row r="893" spans="5:9" ht="13.2">
      <c r="E893" s="69"/>
      <c r="G893" s="69"/>
      <c r="I893" s="69"/>
    </row>
    <row r="894" spans="5:9" ht="13.2">
      <c r="E894" s="69"/>
      <c r="G894" s="69"/>
      <c r="I894" s="69"/>
    </row>
    <row r="895" spans="5:9" ht="13.2">
      <c r="E895" s="69"/>
      <c r="G895" s="69"/>
      <c r="I895" s="69"/>
    </row>
    <row r="896" spans="5:9" ht="13.2">
      <c r="E896" s="69"/>
      <c r="G896" s="69"/>
      <c r="I896" s="69"/>
    </row>
    <row r="897" spans="5:9" ht="13.2">
      <c r="E897" s="69"/>
      <c r="G897" s="69"/>
      <c r="I897" s="69"/>
    </row>
    <row r="898" spans="5:9" ht="13.2">
      <c r="E898" s="69"/>
      <c r="G898" s="69"/>
      <c r="I898" s="69"/>
    </row>
    <row r="899" spans="5:9" ht="13.2">
      <c r="E899" s="69"/>
      <c r="G899" s="69"/>
      <c r="I899" s="69"/>
    </row>
    <row r="900" spans="5:9" ht="13.2">
      <c r="E900" s="69"/>
      <c r="G900" s="69"/>
      <c r="I900" s="69"/>
    </row>
    <row r="901" spans="5:9" ht="13.2">
      <c r="E901" s="69"/>
      <c r="G901" s="69"/>
      <c r="I901" s="69"/>
    </row>
    <row r="902" spans="5:9" ht="13.2">
      <c r="E902" s="69"/>
      <c r="G902" s="69"/>
      <c r="I902" s="69"/>
    </row>
    <row r="903" spans="5:9" ht="13.2">
      <c r="E903" s="69"/>
      <c r="G903" s="69"/>
      <c r="I903" s="69"/>
    </row>
    <row r="904" spans="5:9" ht="13.2">
      <c r="E904" s="69"/>
      <c r="G904" s="69"/>
      <c r="I904" s="69"/>
    </row>
    <row r="905" spans="5:9" ht="13.2">
      <c r="E905" s="69"/>
      <c r="G905" s="69"/>
      <c r="I905" s="69"/>
    </row>
    <row r="906" spans="5:9" ht="13.2">
      <c r="E906" s="69"/>
      <c r="G906" s="69"/>
      <c r="I906" s="69"/>
    </row>
    <row r="907" spans="5:9" ht="13.2">
      <c r="E907" s="69"/>
      <c r="G907" s="69"/>
      <c r="I907" s="69"/>
    </row>
    <row r="908" spans="5:9" ht="13.2">
      <c r="E908" s="69"/>
      <c r="G908" s="69"/>
      <c r="I908" s="69"/>
    </row>
    <row r="909" spans="5:9" ht="13.2">
      <c r="E909" s="69"/>
      <c r="G909" s="69"/>
      <c r="I909" s="69"/>
    </row>
    <row r="910" spans="5:9" ht="13.2">
      <c r="E910" s="69"/>
      <c r="G910" s="69"/>
      <c r="I910" s="69"/>
    </row>
    <row r="911" spans="5:9" ht="13.2">
      <c r="E911" s="69"/>
      <c r="G911" s="69"/>
      <c r="I911" s="69"/>
    </row>
    <row r="912" spans="5:9" ht="13.2">
      <c r="E912" s="69"/>
      <c r="G912" s="69"/>
      <c r="I912" s="69"/>
    </row>
    <row r="913" spans="5:9" ht="13.2">
      <c r="E913" s="69"/>
      <c r="G913" s="69"/>
      <c r="I913" s="69"/>
    </row>
    <row r="914" spans="5:9" ht="13.2">
      <c r="E914" s="69"/>
      <c r="G914" s="69"/>
      <c r="I914" s="69"/>
    </row>
    <row r="915" spans="5:9" ht="13.2">
      <c r="E915" s="69"/>
      <c r="G915" s="69"/>
      <c r="I915" s="69"/>
    </row>
    <row r="916" spans="5:9" ht="13.2">
      <c r="E916" s="69"/>
      <c r="G916" s="69"/>
      <c r="I916" s="69"/>
    </row>
    <row r="917" spans="5:9" ht="13.2">
      <c r="E917" s="69"/>
      <c r="G917" s="69"/>
      <c r="I917" s="69"/>
    </row>
    <row r="918" spans="5:9" ht="13.2">
      <c r="E918" s="69"/>
      <c r="G918" s="69"/>
      <c r="I918" s="69"/>
    </row>
    <row r="919" spans="5:9" ht="13.2">
      <c r="E919" s="69"/>
      <c r="G919" s="69"/>
      <c r="I919" s="69"/>
    </row>
    <row r="920" spans="5:9" ht="13.2">
      <c r="E920" s="69"/>
      <c r="G920" s="69"/>
      <c r="I920" s="69"/>
    </row>
    <row r="921" spans="5:9" ht="13.2">
      <c r="E921" s="69"/>
      <c r="G921" s="69"/>
      <c r="I921" s="69"/>
    </row>
    <row r="922" spans="5:9" ht="13.2">
      <c r="E922" s="69"/>
      <c r="G922" s="69"/>
      <c r="I922" s="69"/>
    </row>
    <row r="923" spans="5:9" ht="13.2">
      <c r="E923" s="69"/>
      <c r="G923" s="69"/>
      <c r="I923" s="69"/>
    </row>
    <row r="924" spans="5:9" ht="13.2">
      <c r="E924" s="69"/>
      <c r="G924" s="69"/>
      <c r="I924" s="69"/>
    </row>
    <row r="925" spans="5:9" ht="13.2">
      <c r="E925" s="69"/>
      <c r="G925" s="69"/>
      <c r="I925" s="69"/>
    </row>
    <row r="926" spans="5:9" ht="13.2">
      <c r="E926" s="69"/>
      <c r="G926" s="69"/>
      <c r="I926" s="69"/>
    </row>
    <row r="927" spans="5:9" ht="13.2">
      <c r="E927" s="69"/>
      <c r="G927" s="69"/>
      <c r="I927" s="69"/>
    </row>
    <row r="928" spans="5:9" ht="13.2">
      <c r="E928" s="69"/>
      <c r="G928" s="69"/>
      <c r="I928" s="69"/>
    </row>
    <row r="929" spans="5:9" ht="13.2">
      <c r="E929" s="69"/>
      <c r="G929" s="69"/>
      <c r="I929" s="69"/>
    </row>
    <row r="930" spans="5:9" ht="13.2">
      <c r="E930" s="69"/>
      <c r="G930" s="69"/>
      <c r="I930" s="69"/>
    </row>
    <row r="931" spans="5:9" ht="13.2">
      <c r="E931" s="69"/>
      <c r="G931" s="69"/>
      <c r="I931" s="69"/>
    </row>
    <row r="932" spans="5:9" ht="13.2">
      <c r="E932" s="69"/>
      <c r="G932" s="69"/>
      <c r="I932" s="69"/>
    </row>
    <row r="933" spans="5:9" ht="13.2">
      <c r="E933" s="69"/>
      <c r="G933" s="69"/>
      <c r="I933" s="69"/>
    </row>
    <row r="934" spans="5:9" ht="13.2">
      <c r="E934" s="69"/>
      <c r="G934" s="69"/>
      <c r="I934" s="69"/>
    </row>
    <row r="935" spans="5:9" ht="13.2">
      <c r="E935" s="69"/>
      <c r="G935" s="69"/>
      <c r="I935" s="69"/>
    </row>
    <row r="936" spans="5:9" ht="13.2">
      <c r="E936" s="69"/>
      <c r="G936" s="69"/>
      <c r="I936" s="69"/>
    </row>
    <row r="937" spans="5:9" ht="13.2">
      <c r="E937" s="69"/>
      <c r="G937" s="69"/>
      <c r="I937" s="69"/>
    </row>
    <row r="938" spans="5:9" ht="13.2">
      <c r="E938" s="69"/>
      <c r="G938" s="69"/>
      <c r="I938" s="69"/>
    </row>
    <row r="939" spans="5:9" ht="13.2">
      <c r="E939" s="69"/>
      <c r="G939" s="69"/>
      <c r="I939" s="69"/>
    </row>
    <row r="940" spans="5:9" ht="13.2">
      <c r="E940" s="69"/>
      <c r="G940" s="69"/>
      <c r="I940" s="69"/>
    </row>
    <row r="941" spans="5:9" ht="13.2">
      <c r="E941" s="69"/>
      <c r="G941" s="69"/>
      <c r="I941" s="69"/>
    </row>
    <row r="942" spans="5:9" ht="13.2">
      <c r="E942" s="69"/>
      <c r="G942" s="69"/>
      <c r="I942" s="69"/>
    </row>
    <row r="943" spans="5:9" ht="13.2">
      <c r="E943" s="69"/>
      <c r="G943" s="69"/>
      <c r="I943" s="69"/>
    </row>
    <row r="944" spans="5:9" ht="13.2">
      <c r="E944" s="69"/>
      <c r="G944" s="69"/>
      <c r="I944" s="69"/>
    </row>
    <row r="945" spans="5:9" ht="13.2">
      <c r="E945" s="69"/>
      <c r="G945" s="69"/>
      <c r="I945" s="69"/>
    </row>
    <row r="946" spans="5:9" ht="13.2">
      <c r="E946" s="69"/>
      <c r="G946" s="69"/>
      <c r="I946" s="69"/>
    </row>
    <row r="947" spans="5:9" ht="13.2">
      <c r="E947" s="69"/>
      <c r="G947" s="69"/>
      <c r="I947" s="69"/>
    </row>
    <row r="948" spans="5:9" ht="13.2">
      <c r="E948" s="69"/>
      <c r="G948" s="69"/>
      <c r="I948" s="69"/>
    </row>
    <row r="949" spans="5:9" ht="13.2">
      <c r="E949" s="69"/>
      <c r="G949" s="69"/>
      <c r="I949" s="69"/>
    </row>
    <row r="950" spans="5:9" ht="13.2">
      <c r="E950" s="69"/>
      <c r="G950" s="69"/>
      <c r="I950" s="69"/>
    </row>
    <row r="951" spans="5:9" ht="13.2">
      <c r="E951" s="69"/>
      <c r="G951" s="69"/>
      <c r="I951" s="69"/>
    </row>
    <row r="952" spans="5:9" ht="13.2">
      <c r="E952" s="69"/>
      <c r="G952" s="69"/>
      <c r="I952" s="69"/>
    </row>
    <row r="953" spans="5:9" ht="13.2">
      <c r="E953" s="69"/>
      <c r="G953" s="69"/>
      <c r="I953" s="69"/>
    </row>
    <row r="954" spans="5:9" ht="13.2">
      <c r="E954" s="69"/>
      <c r="G954" s="69"/>
      <c r="I954" s="69"/>
    </row>
    <row r="955" spans="5:9" ht="13.2">
      <c r="E955" s="69"/>
      <c r="G955" s="69"/>
      <c r="I955" s="69"/>
    </row>
    <row r="956" spans="5:9" ht="13.2">
      <c r="E956" s="69"/>
      <c r="G956" s="69"/>
      <c r="I956" s="69"/>
    </row>
    <row r="957" spans="5:9" ht="13.2">
      <c r="E957" s="69"/>
      <c r="G957" s="69"/>
      <c r="I957" s="69"/>
    </row>
    <row r="958" spans="5:9" ht="13.2">
      <c r="E958" s="69"/>
      <c r="G958" s="69"/>
      <c r="I958" s="69"/>
    </row>
    <row r="959" spans="5:9" ht="13.2">
      <c r="E959" s="69"/>
      <c r="G959" s="69"/>
      <c r="I959" s="69"/>
    </row>
    <row r="960" spans="5:9" ht="13.2">
      <c r="E960" s="69"/>
      <c r="G960" s="69"/>
      <c r="I960" s="69"/>
    </row>
    <row r="961" spans="5:9" ht="13.2">
      <c r="E961" s="69"/>
      <c r="G961" s="69"/>
      <c r="I961" s="69"/>
    </row>
    <row r="962" spans="5:9" ht="13.2">
      <c r="E962" s="69"/>
      <c r="G962" s="69"/>
      <c r="I962" s="69"/>
    </row>
    <row r="963" spans="5:9" ht="13.2">
      <c r="E963" s="69"/>
      <c r="G963" s="69"/>
      <c r="I963" s="69"/>
    </row>
    <row r="964" spans="5:9" ht="13.2">
      <c r="E964" s="69"/>
      <c r="G964" s="69"/>
      <c r="I964" s="69"/>
    </row>
    <row r="965" spans="5:9" ht="13.2">
      <c r="E965" s="69"/>
      <c r="G965" s="69"/>
      <c r="I965" s="69"/>
    </row>
    <row r="966" spans="5:9" ht="13.2">
      <c r="E966" s="69"/>
      <c r="G966" s="69"/>
      <c r="I966" s="69"/>
    </row>
    <row r="967" spans="5:9" ht="13.2">
      <c r="E967" s="69"/>
      <c r="G967" s="69"/>
      <c r="I967" s="69"/>
    </row>
    <row r="968" spans="5:9" ht="13.2">
      <c r="E968" s="69"/>
      <c r="G968" s="69"/>
      <c r="I968" s="69"/>
    </row>
    <row r="969" spans="5:9" ht="13.2">
      <c r="E969" s="69"/>
      <c r="G969" s="69"/>
      <c r="I969" s="69"/>
    </row>
    <row r="970" spans="5:9" ht="13.2">
      <c r="E970" s="69"/>
      <c r="G970" s="69"/>
      <c r="I970" s="69"/>
    </row>
    <row r="971" spans="5:9" ht="13.2">
      <c r="E971" s="69"/>
      <c r="G971" s="69"/>
      <c r="I971" s="69"/>
    </row>
    <row r="972" spans="5:9" ht="13.2">
      <c r="E972" s="69"/>
      <c r="G972" s="69"/>
      <c r="I972" s="69"/>
    </row>
    <row r="973" spans="5:9" ht="13.2">
      <c r="E973" s="69"/>
      <c r="G973" s="69"/>
      <c r="I973" s="69"/>
    </row>
    <row r="974" spans="5:9" ht="13.2">
      <c r="E974" s="69"/>
      <c r="G974" s="69"/>
      <c r="I974" s="69"/>
    </row>
    <row r="975" spans="5:9" ht="13.2">
      <c r="E975" s="69"/>
      <c r="G975" s="69"/>
      <c r="I975" s="69"/>
    </row>
    <row r="976" spans="5:9" ht="13.2">
      <c r="E976" s="69"/>
      <c r="G976" s="69"/>
      <c r="I976" s="69"/>
    </row>
    <row r="977" spans="5:9" ht="13.2">
      <c r="E977" s="69"/>
      <c r="G977" s="69"/>
      <c r="I977" s="69"/>
    </row>
    <row r="978" spans="5:9" ht="13.2">
      <c r="E978" s="69"/>
      <c r="G978" s="69"/>
      <c r="I978" s="69"/>
    </row>
    <row r="979" spans="5:9" ht="13.2">
      <c r="E979" s="69"/>
      <c r="G979" s="69"/>
      <c r="I979" s="69"/>
    </row>
    <row r="980" spans="5:9" ht="13.2">
      <c r="E980" s="69"/>
      <c r="G980" s="69"/>
      <c r="I980" s="69"/>
    </row>
    <row r="981" spans="5:9" ht="13.2">
      <c r="E981" s="69"/>
      <c r="G981" s="69"/>
      <c r="I981" s="69"/>
    </row>
    <row r="982" spans="5:9" ht="13.2">
      <c r="E982" s="69"/>
      <c r="G982" s="69"/>
      <c r="I982" s="69"/>
    </row>
    <row r="983" spans="5:9" ht="13.2">
      <c r="E983" s="69"/>
      <c r="G983" s="69"/>
      <c r="I983" s="69"/>
    </row>
    <row r="984" spans="5:9" ht="13.2">
      <c r="E984" s="69"/>
      <c r="G984" s="69"/>
      <c r="I984" s="69"/>
    </row>
    <row r="985" spans="5:9" ht="13.2">
      <c r="E985" s="69"/>
      <c r="G985" s="69"/>
      <c r="I985" s="69"/>
    </row>
    <row r="986" spans="5:9" ht="13.2">
      <c r="E986" s="69"/>
      <c r="G986" s="69"/>
      <c r="I986" s="69"/>
    </row>
    <row r="987" spans="5:9" ht="13.2">
      <c r="E987" s="69"/>
      <c r="G987" s="69"/>
      <c r="I987" s="69"/>
    </row>
    <row r="988" spans="5:9" ht="13.2">
      <c r="E988" s="69"/>
      <c r="G988" s="69"/>
      <c r="I988" s="69"/>
    </row>
    <row r="989" spans="5:9" ht="13.2">
      <c r="E989" s="69"/>
      <c r="G989" s="69"/>
      <c r="I989" s="69"/>
    </row>
    <row r="990" spans="5:9" ht="13.2">
      <c r="E990" s="69"/>
      <c r="G990" s="69"/>
      <c r="I990" s="69"/>
    </row>
    <row r="991" spans="5:9" ht="13.2">
      <c r="E991" s="69"/>
      <c r="G991" s="69"/>
      <c r="I991" s="69"/>
    </row>
    <row r="992" spans="5:9" ht="13.2">
      <c r="E992" s="69"/>
      <c r="G992" s="69"/>
      <c r="I992" s="69"/>
    </row>
    <row r="993" spans="5:9" ht="13.2">
      <c r="E993" s="69"/>
      <c r="G993" s="69"/>
      <c r="I993" s="69"/>
    </row>
    <row r="994" spans="5:9" ht="13.2">
      <c r="E994" s="69"/>
      <c r="G994" s="69"/>
      <c r="I994" s="69"/>
    </row>
    <row r="995" spans="5:9" ht="13.2">
      <c r="E995" s="69"/>
      <c r="G995" s="69"/>
      <c r="I995" s="69"/>
    </row>
    <row r="996" spans="5:9" ht="13.2">
      <c r="E996" s="69"/>
      <c r="G996" s="69"/>
      <c r="I996" s="69"/>
    </row>
    <row r="997" spans="5:9" ht="13.2">
      <c r="E997" s="69"/>
      <c r="G997" s="69"/>
      <c r="I997" s="69"/>
    </row>
    <row r="998" spans="5:9" ht="13.2">
      <c r="E998" s="69"/>
      <c r="G998" s="69"/>
      <c r="I998" s="69"/>
    </row>
    <row r="999" spans="5:9" ht="13.2">
      <c r="E999" s="69"/>
      <c r="G999" s="69"/>
      <c r="I999" s="69"/>
    </row>
  </sheetData>
  <mergeCells count="6">
    <mergeCell ref="A6:L6"/>
    <mergeCell ref="A1:L1"/>
    <mergeCell ref="A2:L2"/>
    <mergeCell ref="A3:L3"/>
    <mergeCell ref="A4:K4"/>
    <mergeCell ref="A5:K5"/>
  </mergeCells>
  <conditionalFormatting sqref="E8:I69">
    <cfRule type="containsBlanks" dxfId="2" priority="1">
      <formula>LEN(TRIM(E8))=0</formula>
    </cfRule>
    <cfRule type="cellIs" dxfId="1" priority="2" operator="lessThan">
      <formula>50</formula>
    </cfRule>
    <cfRule type="cellIs" dxfId="0" priority="3" operator="equal">
      <formula>"A"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26"/>
  <sheetViews>
    <sheetView tabSelected="1" topLeftCell="A7" workbookViewId="0">
      <selection activeCell="J8" sqref="J8"/>
    </sheetView>
  </sheetViews>
  <sheetFormatPr defaultColWidth="12.6640625" defaultRowHeight="15.75" customHeight="1"/>
  <sheetData>
    <row r="1" spans="1:8" ht="15.75" customHeight="1">
      <c r="A1" s="113" t="s">
        <v>220</v>
      </c>
      <c r="B1" s="104"/>
      <c r="C1" s="104"/>
      <c r="D1" s="104"/>
      <c r="E1" s="104"/>
      <c r="F1" s="104"/>
      <c r="G1" s="104"/>
      <c r="H1" s="104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14" t="s">
        <v>221</v>
      </c>
      <c r="B3" s="104"/>
      <c r="C3" s="104"/>
      <c r="D3" s="104"/>
      <c r="E3" s="104"/>
      <c r="F3" s="104"/>
      <c r="G3" s="104"/>
      <c r="H3" s="104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15" t="s">
        <v>222</v>
      </c>
      <c r="B5" s="104"/>
      <c r="C5" s="104"/>
      <c r="D5" s="104"/>
      <c r="E5" s="104"/>
      <c r="F5" s="104"/>
      <c r="G5" s="104"/>
      <c r="H5" s="104"/>
    </row>
    <row r="6" spans="1:8">
      <c r="A6" s="1"/>
      <c r="B6" s="1"/>
      <c r="C6" s="1"/>
      <c r="D6" s="1"/>
      <c r="E6" s="1"/>
      <c r="F6" s="1"/>
      <c r="G6" s="1"/>
      <c r="H6" s="1"/>
    </row>
    <row r="7" spans="1:8" ht="15.75" customHeight="1">
      <c r="A7" s="107" t="s">
        <v>3</v>
      </c>
      <c r="B7" s="104"/>
      <c r="C7" s="104"/>
      <c r="D7" s="104"/>
      <c r="E7" s="104"/>
      <c r="F7" s="104"/>
      <c r="G7" s="104"/>
      <c r="H7" s="104"/>
    </row>
    <row r="8" spans="1:8" ht="15.75" customHeight="1">
      <c r="A8" s="116" t="s">
        <v>223</v>
      </c>
      <c r="B8" s="104"/>
      <c r="C8" s="104"/>
      <c r="D8" s="104"/>
      <c r="E8" s="104"/>
      <c r="F8" s="104"/>
      <c r="G8" s="104"/>
      <c r="H8" s="104"/>
    </row>
    <row r="9" spans="1:8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117"/>
      <c r="B10" s="104"/>
      <c r="C10" s="104"/>
      <c r="D10" s="104"/>
      <c r="E10" s="104"/>
      <c r="F10" s="104"/>
      <c r="G10" s="104"/>
      <c r="H10" s="104"/>
    </row>
    <row r="11" spans="1:8" ht="15.75" customHeight="1">
      <c r="A11" s="90"/>
      <c r="B11" s="1"/>
      <c r="C11" s="91"/>
      <c r="D11" s="91"/>
      <c r="E11" s="91"/>
      <c r="F11" s="91"/>
      <c r="G11" s="91"/>
      <c r="H11" s="1"/>
    </row>
    <row r="12" spans="1:8">
      <c r="A12" s="1"/>
      <c r="B12" s="92"/>
      <c r="C12" s="111" t="s">
        <v>224</v>
      </c>
      <c r="D12" s="111" t="s">
        <v>225</v>
      </c>
      <c r="E12" s="111" t="s">
        <v>226</v>
      </c>
      <c r="F12" s="111" t="s">
        <v>227</v>
      </c>
      <c r="G12" s="111" t="s">
        <v>228</v>
      </c>
      <c r="H12" s="1"/>
    </row>
    <row r="13" spans="1:8">
      <c r="A13" s="1"/>
      <c r="B13" s="92"/>
      <c r="C13" s="112"/>
      <c r="D13" s="112"/>
      <c r="E13" s="112"/>
      <c r="F13" s="112"/>
      <c r="G13" s="112"/>
      <c r="H13" s="1"/>
    </row>
    <row r="14" spans="1:8">
      <c r="A14" s="1"/>
      <c r="B14" s="92"/>
      <c r="C14" s="93" t="s">
        <v>229</v>
      </c>
      <c r="D14" s="93">
        <f>(COUNT('AIDS A'!A8:A69)+COUNT('AIDS B'!A8:A69)+COUNT('AIDS C'!A8:A69))</f>
        <v>186</v>
      </c>
      <c r="E14" s="94">
        <f>D14-F14</f>
        <v>94</v>
      </c>
      <c r="F14" s="94">
        <f>'AIDS A'!E80+'AIDS B'!E80+'AIDS C'!E79</f>
        <v>92</v>
      </c>
      <c r="G14" s="95">
        <f>(E14/D14)*100</f>
        <v>50.537634408602152</v>
      </c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15.75" customHeight="1">
      <c r="A16" s="1"/>
      <c r="B16" s="118" t="s">
        <v>230</v>
      </c>
      <c r="C16" s="119"/>
      <c r="D16" s="119"/>
      <c r="E16" s="119"/>
      <c r="F16" s="119"/>
      <c r="G16" s="119"/>
      <c r="H16" s="120"/>
    </row>
    <row r="17" spans="1:8">
      <c r="A17" s="96"/>
      <c r="B17" s="97" t="s">
        <v>224</v>
      </c>
      <c r="C17" s="98" t="s">
        <v>10</v>
      </c>
      <c r="D17" s="98" t="s">
        <v>11</v>
      </c>
      <c r="E17" s="98" t="s">
        <v>12</v>
      </c>
      <c r="F17" s="98" t="s">
        <v>13</v>
      </c>
      <c r="G17" s="98" t="s">
        <v>14</v>
      </c>
      <c r="H17" s="97" t="s">
        <v>231</v>
      </c>
    </row>
    <row r="18" spans="1:8">
      <c r="A18" s="92"/>
      <c r="B18" s="93" t="s">
        <v>229</v>
      </c>
      <c r="C18" s="93">
        <f>'AIDS A'!E75+'AIDS B'!E75+'AIDS A'!E73+'AIDS B'!E73+'AIDS C'!E74+'AIDS C'!E72</f>
        <v>24</v>
      </c>
      <c r="D18" s="93">
        <f>'AIDS A'!F75+'AIDS B'!F75+'AIDS A'!F73+'AIDS B'!F73+'AIDS C'!F74+'AIDS C'!F72</f>
        <v>24</v>
      </c>
      <c r="E18" s="93">
        <f>'AIDS A'!G75+'AIDS B'!G75+'AIDS A'!G73+'AIDS B'!G73+'AIDS C'!G74+'AIDS C'!G72</f>
        <v>42</v>
      </c>
      <c r="F18" s="93">
        <f>'AIDS A'!H75+'AIDS B'!H75+'AIDS A'!H73+'AIDS B'!H73+'AIDS C'!H74+'AIDS C'!H72</f>
        <v>63</v>
      </c>
      <c r="G18" s="93">
        <f>'AIDS A'!I75+'AIDS B'!I75+'AIDS A'!I73+'AIDS B'!I73+'AIDS C'!I74+'AIDS C'!I72</f>
        <v>27</v>
      </c>
      <c r="H18" s="93">
        <f t="shared" ref="H18:H19" si="0">SUM(C18:G18)</f>
        <v>180</v>
      </c>
    </row>
    <row r="19" spans="1:8" ht="15.75" customHeight="1">
      <c r="A19" s="92"/>
      <c r="B19" s="93" t="s">
        <v>232</v>
      </c>
      <c r="C19" s="99">
        <f>'AIDS A'!E77+'AIDS B'!E77+'AIDS C'!E76</f>
        <v>4</v>
      </c>
      <c r="D19" s="99">
        <f>'AIDS A'!F77+'AIDS B'!F77+'AIDS C'!F76</f>
        <v>3</v>
      </c>
      <c r="E19" s="99">
        <f>'AIDS A'!G77+'AIDS B'!G77+'AIDS C'!G76</f>
        <v>6</v>
      </c>
      <c r="F19" s="99">
        <f>'AIDS A'!H77+'AIDS B'!H77+'AIDS C'!H76</f>
        <v>20</v>
      </c>
      <c r="G19" s="99">
        <f>'AIDS A'!I77+'AIDS B'!I77+'AIDS C'!I76</f>
        <v>6</v>
      </c>
      <c r="H19" s="93">
        <f t="shared" si="0"/>
        <v>39</v>
      </c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91"/>
      <c r="C21" s="91"/>
      <c r="D21" s="91"/>
      <c r="E21" s="91"/>
      <c r="F21" s="91"/>
      <c r="G21" s="91"/>
      <c r="H21" s="1"/>
    </row>
    <row r="22" spans="1:8">
      <c r="A22" s="92"/>
      <c r="B22" s="100" t="s">
        <v>224</v>
      </c>
      <c r="C22" s="100" t="s">
        <v>233</v>
      </c>
      <c r="D22" s="100" t="s">
        <v>234</v>
      </c>
      <c r="E22" s="100" t="s">
        <v>235</v>
      </c>
      <c r="F22" s="100" t="s">
        <v>236</v>
      </c>
      <c r="G22" s="100" t="s">
        <v>237</v>
      </c>
      <c r="H22" s="101" t="s">
        <v>238</v>
      </c>
    </row>
    <row r="23" spans="1:8">
      <c r="A23" s="92"/>
      <c r="B23" s="93" t="s">
        <v>229</v>
      </c>
      <c r="C23" s="93">
        <f>(COUNTIF(('AIDS A'!K8:K69),"=1"))+(COUNTIF(('AIDS B'!K8:K69),"=1"))+(COUNTIF(('AIDS C'!K8:K69),"=1"))</f>
        <v>39</v>
      </c>
      <c r="D23" s="93">
        <f>(COUNTIF(('AIDS A'!K8:K69),"=2"))+(COUNTIF(('AIDS B'!K8:K69),"=2"))+(COUNTIF(('AIDS C'!K8:K69),"=2"))</f>
        <v>30</v>
      </c>
      <c r="E23" s="93">
        <f>(COUNTIF(('AIDS A'!K8:K69),"=3"))+(COUNTIF(('AIDS B'!K8:K69),"=3"))+(COUNTIF(('AIDS C'!K8:K69),"=3"))</f>
        <v>13</v>
      </c>
      <c r="F23" s="93">
        <f>(COUNTIF(('AIDS A'!K8:K69),"=4"))+(COUNTIF(('AIDS B'!K8:K69),"=4"))+(COUNTIF(('AIDS C'!K8:K69),"=4"))</f>
        <v>8</v>
      </c>
      <c r="G23" s="93">
        <f>(COUNTIF(('AIDS A'!K8:K69),"=5"))+(COUNTIF(('AIDS B'!K8:K69),"=5"))+(COUNTIF(('AIDS C'!K8:K69),"=5"))</f>
        <v>2</v>
      </c>
      <c r="H23" s="102">
        <f>(C23*1)+(D23*2)+(E23*3)+(F23*4)+(G23*5)</f>
        <v>180</v>
      </c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</sheetData>
  <mergeCells count="12">
    <mergeCell ref="B16:H16"/>
    <mergeCell ref="D12:D13"/>
    <mergeCell ref="E12:E13"/>
    <mergeCell ref="F12:F13"/>
    <mergeCell ref="G12:G13"/>
    <mergeCell ref="A1:H1"/>
    <mergeCell ref="A3:H3"/>
    <mergeCell ref="A5:H5"/>
    <mergeCell ref="A7:H7"/>
    <mergeCell ref="A8:H8"/>
    <mergeCell ref="A10:H10"/>
    <mergeCell ref="C12:C1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AIDS A</vt:lpstr>
      <vt:lpstr>AIDS B</vt:lpstr>
      <vt:lpstr>AIDS C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Sujith-Kumar P</cp:lastModifiedBy>
  <dcterms:modified xsi:type="dcterms:W3CDTF">2026-03-19T08:15:44Z</dcterms:modified>
</cp:coreProperties>
</file>