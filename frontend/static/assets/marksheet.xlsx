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S A" sheetId="1" r:id="rId5"/>
    <sheet state="visible" name="AIDS B" sheetId="2" r:id="rId6"/>
    <sheet state="visible" name="AIDS C" sheetId="3" r:id="rId7"/>
    <sheet state="visible" name="Overall" sheetId="4" r:id="rId8"/>
  </sheets>
  <definedNames/>
  <calcPr/>
</workbook>
</file>

<file path=xl/sharedStrings.xml><?xml version="1.0" encoding="utf-8"?>
<sst xmlns="http://schemas.openxmlformats.org/spreadsheetml/2006/main" count="976" uniqueCount="270">
  <si>
    <t>R. M. K. COLLEGE OF ENGINEERING AND TECHNOLOGY</t>
  </si>
  <si>
    <t>R. S. M NAGAR, PUDUVOYAL - 601 206</t>
  </si>
  <si>
    <t>Department of Science and Humanities</t>
  </si>
  <si>
    <t xml:space="preserve"> I Semester B.E  (Academic Year : 2025-26)</t>
  </si>
  <si>
    <t>Unit Test - II         Result Analysis</t>
  </si>
  <si>
    <t>Branch &amp; Section:AIDS - A</t>
  </si>
  <si>
    <t>Sl. No.</t>
  </si>
  <si>
    <t>Reg. No.</t>
  </si>
  <si>
    <t>Name</t>
  </si>
  <si>
    <t>G / M</t>
  </si>
  <si>
    <t>D/H</t>
  </si>
  <si>
    <t>Girl / Boy</t>
  </si>
  <si>
    <t>Cut off</t>
  </si>
  <si>
    <t>Maths</t>
  </si>
  <si>
    <t>Chem</t>
  </si>
  <si>
    <t>C++</t>
  </si>
  <si>
    <t>SDP</t>
  </si>
  <si>
    <t>DPSD</t>
  </si>
  <si>
    <t>GPA</t>
  </si>
  <si>
    <t>No. of subjects failed</t>
  </si>
  <si>
    <t>absentees</t>
  </si>
  <si>
    <t>Attendance</t>
  </si>
  <si>
    <t>ABIJITH G S</t>
  </si>
  <si>
    <t>M</t>
  </si>
  <si>
    <t>H</t>
  </si>
  <si>
    <t>A</t>
  </si>
  <si>
    <t>ABISHEK M</t>
  </si>
  <si>
    <t>G</t>
  </si>
  <si>
    <t>ADDIPALLI LAHITH VARMA</t>
  </si>
  <si>
    <t>AJAY R V</t>
  </si>
  <si>
    <t>D</t>
  </si>
  <si>
    <t>AKSHAYA K</t>
  </si>
  <si>
    <t>F</t>
  </si>
  <si>
    <t>AKSHAYA R</t>
  </si>
  <si>
    <t>ANAGHA SRIRAM S</t>
  </si>
  <si>
    <t>ANIPIREDDY LEELA VISHNU REDDY</t>
  </si>
  <si>
    <t>ANISHA LAKSHMI G S</t>
  </si>
  <si>
    <t>ARAVIND ALAGAPPAN AR</t>
  </si>
  <si>
    <t>ARCHANA ANBAZHAGAN</t>
  </si>
  <si>
    <t>AREDDULA VARSHITH KUMAR</t>
  </si>
  <si>
    <t>ARIGELA LIKITH SRINIVAS</t>
  </si>
  <si>
    <t>ARUNADEVI S</t>
  </si>
  <si>
    <t>ARURU NUTHAN KUMAR</t>
  </si>
  <si>
    <t>ARURU SAI SARAVANA</t>
  </si>
  <si>
    <t>BAGAVATHI E</t>
  </si>
  <si>
    <t>BALAJI T</t>
  </si>
  <si>
    <t>BENARJI M</t>
  </si>
  <si>
    <t>BHAVITH SAI REDDY B</t>
  </si>
  <si>
    <t>BHOOMIKA P</t>
  </si>
  <si>
    <t>BHUVANA LAKSHMI B</t>
  </si>
  <si>
    <t>BHUVANESWARAN R</t>
  </si>
  <si>
    <t>BUSIREDDY CHAITANYA</t>
  </si>
  <si>
    <t>CHANDRU M</t>
  </si>
  <si>
    <t>CHANDULURU VASAVI</t>
  </si>
  <si>
    <t>CHATRESH B</t>
  </si>
  <si>
    <t>DAKA VENKATA HARSHA VARDHAN REDDY</t>
  </si>
  <si>
    <t>DEEKSHITHA S M</t>
  </si>
  <si>
    <t>DEEPAK N S</t>
  </si>
  <si>
    <t>DESU RUPESH</t>
  </si>
  <si>
    <t>DEVASRI S K</t>
  </si>
  <si>
    <t>DHANUSH S</t>
  </si>
  <si>
    <t>DHARSHAN S</t>
  </si>
  <si>
    <t>DHARSHINI P V</t>
  </si>
  <si>
    <t>DHIYA R</t>
  </si>
  <si>
    <t>DINESH N</t>
  </si>
  <si>
    <t>DIVYA DHARSHINI C</t>
  </si>
  <si>
    <t>DIVYA T</t>
  </si>
  <si>
    <t>DONDETI BHARATH KUMAR REDDY</t>
  </si>
  <si>
    <t>DONDETI REVANTH REDDY</t>
  </si>
  <si>
    <t>DUVVURU DEEKSHITHA</t>
  </si>
  <si>
    <t>GANESH PRASATH J</t>
  </si>
  <si>
    <t>GEETHALAKSHMI B</t>
  </si>
  <si>
    <t>GIRI P</t>
  </si>
  <si>
    <t>GOLI VENKATA SUJITH</t>
  </si>
  <si>
    <t>GOLLA NITHYA SRI</t>
  </si>
  <si>
    <t>GOPI CHANDH K P</t>
  </si>
  <si>
    <t>GOWTHAM G</t>
  </si>
  <si>
    <t>GOWTHAM M V</t>
  </si>
  <si>
    <t>HARIHARASUTHAN N</t>
  </si>
  <si>
    <t>HARSHITHA K</t>
  </si>
  <si>
    <t>HARSHITHA V</t>
  </si>
  <si>
    <t>HASINI S</t>
  </si>
  <si>
    <t>HEENA S V</t>
  </si>
  <si>
    <t>HEERTHANA M</t>
  </si>
  <si>
    <t>HEMANATH S</t>
  </si>
  <si>
    <t>HEMAVARSHENE G V</t>
  </si>
  <si>
    <t>JAHNAVI R</t>
  </si>
  <si>
    <t>JALADANKI PRUDHVI REDDY</t>
  </si>
  <si>
    <t>JALADANKI VENKATA MIGNESH NAIDU</t>
  </si>
  <si>
    <t>Total No. of Students</t>
  </si>
  <si>
    <t>Total No. of Appeared</t>
  </si>
  <si>
    <t>Total No. of Absentees</t>
  </si>
  <si>
    <t>Total No. of Passes</t>
  </si>
  <si>
    <t>Total No. of Failures</t>
  </si>
  <si>
    <t>Pass %</t>
  </si>
  <si>
    <t xml:space="preserve">Failed only in </t>
  </si>
  <si>
    <t>Overall Pass</t>
  </si>
  <si>
    <t>Overall Fail</t>
  </si>
  <si>
    <t>Overall Absentees</t>
  </si>
  <si>
    <t>Overall Appeared</t>
  </si>
  <si>
    <t>Overall Pass %</t>
  </si>
  <si>
    <t>Highest Mark</t>
  </si>
  <si>
    <t>Hotel / D</t>
  </si>
  <si>
    <t xml:space="preserve">No. of H Students Failed </t>
  </si>
  <si>
    <t xml:space="preserve">No. of D Students Failed </t>
  </si>
  <si>
    <t>G / Mgnt</t>
  </si>
  <si>
    <t xml:space="preserve">No. of G quota Students Failed </t>
  </si>
  <si>
    <t xml:space="preserve">No. of M Students Failed </t>
  </si>
  <si>
    <t>Tamil / Medium</t>
  </si>
  <si>
    <t xml:space="preserve">No. of Tamil Medium Students Failed </t>
  </si>
  <si>
    <t xml:space="preserve">No. of English medium students Failed </t>
  </si>
  <si>
    <t>Girls / Boys</t>
  </si>
  <si>
    <t>No. of Girls Failed</t>
  </si>
  <si>
    <t xml:space="preserve">No. of Boys Failed </t>
  </si>
  <si>
    <t>Category</t>
  </si>
  <si>
    <t>GIRLS</t>
  </si>
  <si>
    <t>BOYS</t>
  </si>
  <si>
    <t>MGT</t>
  </si>
  <si>
    <t>GVT</t>
  </si>
  <si>
    <t>DAYSCHOLAR</t>
  </si>
  <si>
    <t>Hostel</t>
  </si>
  <si>
    <t xml:space="preserve">Total No. of Students </t>
  </si>
  <si>
    <t>No. of Students Pass</t>
  </si>
  <si>
    <t>No. of students failed</t>
  </si>
  <si>
    <t>% of Pass</t>
  </si>
  <si>
    <t>Branch &amp; Section: AIDS - B</t>
  </si>
  <si>
    <t>JANANI B</t>
  </si>
  <si>
    <t>JANANI S</t>
  </si>
  <si>
    <t>JEEVARATHINAM M</t>
  </si>
  <si>
    <t>JEFFRIN M</t>
  </si>
  <si>
    <t>JERRIPOTHU VENKATA SAI KRISHNA</t>
  </si>
  <si>
    <t>JYOSHITHA N M</t>
  </si>
  <si>
    <t>KAILASH S</t>
  </si>
  <si>
    <t>KAMALESH S</t>
  </si>
  <si>
    <t>KAMESH H</t>
  </si>
  <si>
    <t>KANCHARALA VENKATA MOHAN REDDDY</t>
  </si>
  <si>
    <t>KANESKA S M</t>
  </si>
  <si>
    <t>KANI MOZHI R</t>
  </si>
  <si>
    <t>KASU RAKESH REDDY</t>
  </si>
  <si>
    <t>KAVIARASI D</t>
  </si>
  <si>
    <t>KAVIYA SRI V</t>
  </si>
  <si>
    <t>KESAVARAJ S</t>
  </si>
  <si>
    <t>KETHU BHUVANESWARI</t>
  </si>
  <si>
    <t>KETHU JYOTHISWAR REDDY</t>
  </si>
  <si>
    <t>KOLAMALA JAHNAVI</t>
  </si>
  <si>
    <t>KOMMI SAI VARNIKA</t>
  </si>
  <si>
    <t>KONDURU SUSMITHA</t>
  </si>
  <si>
    <t>KOTA SAI CHARAN</t>
  </si>
  <si>
    <t>KRISHKA M</t>
  </si>
  <si>
    <t>LAKSHANIKA S T K</t>
  </si>
  <si>
    <t>LAKSHMI NARAYANAN S B</t>
  </si>
  <si>
    <t>LEKHA G</t>
  </si>
  <si>
    <t>LEKKALA PRANATHI</t>
  </si>
  <si>
    <t>LINGESHWARAN E</t>
  </si>
  <si>
    <t>LOGESWARI A</t>
  </si>
  <si>
    <t>LOHITH N</t>
  </si>
  <si>
    <t>LOKITHA M</t>
  </si>
  <si>
    <t>MADHAN KUMAR</t>
  </si>
  <si>
    <t>MANOJ SAMUEL S</t>
  </si>
  <si>
    <t>MELLAKANTI RUCHITHA</t>
  </si>
  <si>
    <t>MOHAMED IRFAN I</t>
  </si>
  <si>
    <t>MONISHA S</t>
  </si>
  <si>
    <t>MUKESH S</t>
  </si>
  <si>
    <t>NAVEEN KUMAR D</t>
  </si>
  <si>
    <t>NERELLA SAI ASWITHA</t>
  </si>
  <si>
    <t>NICKSON SIMEON ANTONY P</t>
  </si>
  <si>
    <t>NITHILAN A</t>
  </si>
  <si>
    <t>NITHISH KUMAR S</t>
  </si>
  <si>
    <t>NITHIYA SRI G</t>
  </si>
  <si>
    <t>NIVETHA S</t>
  </si>
  <si>
    <t>OVIYA S</t>
  </si>
  <si>
    <t>PARLAPALLI OJASWINI</t>
  </si>
  <si>
    <t>PEDDA VAMSI KRISHNA</t>
  </si>
  <si>
    <t>PEMMASANI DHANUSH</t>
  </si>
  <si>
    <t>POLICHETTY SAI GANESH</t>
  </si>
  <si>
    <t>PONMANI M</t>
  </si>
  <si>
    <t>PONMATHI I</t>
  </si>
  <si>
    <t>POOJA K</t>
  </si>
  <si>
    <t>POOVARASAN M</t>
  </si>
  <si>
    <t>PRADHIKSHA D</t>
  </si>
  <si>
    <t>PRAGADISWARRAN I</t>
  </si>
  <si>
    <t>PRAVEENA K</t>
  </si>
  <si>
    <t>PRAVIN KUMAR P</t>
  </si>
  <si>
    <t>PREM KUMAR RATHIGA KANIGA</t>
  </si>
  <si>
    <t>PRITHIKA P</t>
  </si>
  <si>
    <t>PRIYADARRSINI A</t>
  </si>
  <si>
    <t>PULLA THARUN</t>
  </si>
  <si>
    <t>PURUSHOTHAMAN R</t>
  </si>
  <si>
    <t>Branch &amp; Section: AIDS - C</t>
  </si>
  <si>
    <t>RADARAPU BABY JANANI</t>
  </si>
  <si>
    <t>RAHUL K</t>
  </si>
  <si>
    <t>RAJASRI G</t>
  </si>
  <si>
    <t>RAMACHANDRAN G</t>
  </si>
  <si>
    <t>RAMISETTY LASYA BHAVANI</t>
  </si>
  <si>
    <t>RANJITH N B</t>
  </si>
  <si>
    <t>RITHIKA J</t>
  </si>
  <si>
    <t>RITU N</t>
  </si>
  <si>
    <t>RUVANTHIKA S T K</t>
  </si>
  <si>
    <t>SACHIN D</t>
  </si>
  <si>
    <t>SAISHREYASH K S</t>
  </si>
  <si>
    <t>SAM ELIJAH BG</t>
  </si>
  <si>
    <t>SAM NICHOLAS H</t>
  </si>
  <si>
    <t>SANCHITA V</t>
  </si>
  <si>
    <t>SANDHIYA B</t>
  </si>
  <si>
    <t>SANDHIYA V</t>
  </si>
  <si>
    <t>SANGEETHA SRI R</t>
  </si>
  <si>
    <t>SANJANA N</t>
  </si>
  <si>
    <t>SANJAY SRIDHAR D A</t>
  </si>
  <si>
    <t>SANJU SHREE G</t>
  </si>
  <si>
    <t>SANTHOSH P</t>
  </si>
  <si>
    <t>SARAVANAN B L</t>
  </si>
  <si>
    <t>SHAIK JAKEER AHMED</t>
  </si>
  <si>
    <t>SHAMREEN FATHIMA J</t>
  </si>
  <si>
    <t>SHEETHAL S</t>
  </si>
  <si>
    <t>SHIVANI M</t>
  </si>
  <si>
    <t>SHREE DHARSHAN B R</t>
  </si>
  <si>
    <t>SIVARUBAN K G</t>
  </si>
  <si>
    <t>SOLLETI ANVITHA</t>
  </si>
  <si>
    <t>SUBHASHINI K</t>
  </si>
  <si>
    <t>SUMANTH S</t>
  </si>
  <si>
    <t>SURENDHAR K</t>
  </si>
  <si>
    <t>SYED AHMED BASHA</t>
  </si>
  <si>
    <t>TEJA SAI C</t>
  </si>
  <si>
    <t>TENALI SANHITH</t>
  </si>
  <si>
    <t>THANUJA N</t>
  </si>
  <si>
    <t>THANUSHREE P J</t>
  </si>
  <si>
    <t>THARIKA V</t>
  </si>
  <si>
    <t>THEJA KRISHNA R</t>
  </si>
  <si>
    <t>THENMOZHI K</t>
  </si>
  <si>
    <t>THULASI RAM K</t>
  </si>
  <si>
    <t>VADLAMUDI VENKATA SAI YASWANTH</t>
  </si>
  <si>
    <t>VALLURU HAASINI</t>
  </si>
  <si>
    <t>VASANTHA RAJA PRIYAN R</t>
  </si>
  <si>
    <t>VISHWA D</t>
  </si>
  <si>
    <t>VITHISHA M</t>
  </si>
  <si>
    <t>VOODARA AARTHI</t>
  </si>
  <si>
    <t>VUGGUMUDI SRI PAVAN</t>
  </si>
  <si>
    <t>YAAKSHITHA A N</t>
  </si>
  <si>
    <t>YAASH YADAV R I</t>
  </si>
  <si>
    <t>YARAGALA VIGNESH</t>
  </si>
  <si>
    <t>YASHIKA R</t>
  </si>
  <si>
    <t>YOGESH N</t>
  </si>
  <si>
    <t>YOGESHWARAN S</t>
  </si>
  <si>
    <t>YUTHISH KUMAR H</t>
  </si>
  <si>
    <t>YUVARAJ K</t>
  </si>
  <si>
    <t>PUVIYARASU B</t>
  </si>
  <si>
    <t>NADHI A</t>
  </si>
  <si>
    <t>SALA NAGA SAI SATYA ADITHYA</t>
  </si>
  <si>
    <t>GUDIPATI SPANDANA</t>
  </si>
  <si>
    <t>OMSAIVAMSI V</t>
  </si>
  <si>
    <t>NITHISH YADAV GUNASELAN</t>
  </si>
  <si>
    <t>R.M.K.COLLEGE OF ENGINEERING AND TECHNOLOGY</t>
  </si>
  <si>
    <t>R.S.M. NAGAR, PUDUVOYAL - 601 206</t>
  </si>
  <si>
    <t>Batch: 17                                                                                                       Date: 4.10.24</t>
  </si>
  <si>
    <t>IAT1      Result Analysis</t>
  </si>
  <si>
    <t>Dept.</t>
  </si>
  <si>
    <t>STUDENTS APPEARED</t>
  </si>
  <si>
    <t>STUDENTS PASSED</t>
  </si>
  <si>
    <t>STUDENTS FAILED</t>
  </si>
  <si>
    <t>PASS %</t>
  </si>
  <si>
    <t>AIDS</t>
  </si>
  <si>
    <t>No. of Failures(Dept.wise)</t>
  </si>
  <si>
    <t>Total</t>
  </si>
  <si>
    <t>Failed only in</t>
  </si>
  <si>
    <t>One Sub. failures</t>
  </si>
  <si>
    <t>Two Sub. failures</t>
  </si>
  <si>
    <t>Three Sub. failures</t>
  </si>
  <si>
    <t>Four Sub. failures</t>
  </si>
  <si>
    <t>Five Sub. failures</t>
  </si>
  <si>
    <t>Total No. of subjects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</si>
</sst>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6.0"/>
      <color theme="1"/>
      <name val="&quot;Times New Roman&quot;"/>
    </font>
    <font>
      <color theme="1"/>
      <name val="Arial"/>
    </font>
    <font>
      <sz val="12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Times New Roman"/>
    </font>
    <font>
      <b/>
      <sz val="14.0"/>
      <color theme="1"/>
      <name val="&quot;Times New Roman&quot;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Arial"/>
    </font>
    <font>
      <sz val="8.0"/>
      <color rgb="FF000000"/>
      <name val="Verdana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Calibri"/>
    </font>
    <font>
      <sz val="14.0"/>
      <color rgb="FFFF0000"/>
      <name val="&quot;Times New Roman&quot;"/>
    </font>
    <font>
      <b/>
      <sz val="14.0"/>
      <color rgb="FFFF0000"/>
      <name val="Calibri"/>
    </font>
    <font>
      <sz val="14.0"/>
      <color rgb="FFFF0000"/>
      <name val="Calibri"/>
    </font>
    <font>
      <b/>
      <sz val="11.0"/>
      <color theme="1"/>
      <name val="&quot;Times New Roman&quot;"/>
    </font>
    <font>
      <b/>
      <sz val="9.0"/>
      <color theme="1"/>
      <name val="&quot;Times New Roman&quot;"/>
    </font>
    <font>
      <b/>
      <color theme="1"/>
      <name val="&quot;Times New Roman&quot;"/>
    </font>
    <font>
      <b/>
      <color rgb="FFFF0000"/>
      <name val="&quot;Times New Roman&quot;"/>
    </font>
    <font>
      <sz val="11.0"/>
      <color rgb="FF000000"/>
      <name val="Calibri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3.0"/>
      <color theme="1"/>
      <name val="Calibri"/>
    </font>
    <font>
      <sz val="12.0"/>
      <color rgb="FF000000"/>
      <name val="&quot;Times New Roman&quot;"/>
    </font>
    <font>
      <color rgb="FF000000"/>
      <name val="Arial"/>
    </font>
    <font>
      <b/>
      <sz val="12.0"/>
      <color theme="1"/>
      <name val="&quot;Times New Roman&quot;"/>
    </font>
    <font>
      <b/>
      <color theme="1"/>
      <name val="Times New Roman"/>
    </font>
    <font>
      <b/>
      <u/>
      <sz val="12.0"/>
      <color theme="1"/>
      <name val="&quot;Times New Roman&quot;"/>
    </font>
    <font>
      <sz val="11.0"/>
      <color theme="1"/>
      <name val="&quot;Times New Roman&quot;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8" numFmtId="0" xfId="0" applyBorder="1" applyFont="1"/>
    <xf borderId="2" fillId="3" fontId="9" numFmtId="0" xfId="0" applyAlignment="1" applyBorder="1" applyFill="1" applyFont="1">
      <alignment horizontal="center"/>
    </xf>
    <xf borderId="3" fillId="3" fontId="9" numFmtId="0" xfId="0" applyAlignment="1" applyBorder="1" applyFont="1">
      <alignment horizontal="center"/>
    </xf>
    <xf borderId="3" fillId="3" fontId="9" numFmtId="0" xfId="0" applyAlignment="1" applyBorder="1" applyFont="1">
      <alignment horizontal="center" shrinkToFit="0" wrapText="1"/>
    </xf>
    <xf borderId="3" fillId="3" fontId="9" numFmtId="0" xfId="0" applyAlignment="1" applyBorder="1" applyFont="1">
      <alignment horizontal="center" shrinkToFit="0" vertical="center" wrapText="1"/>
    </xf>
    <xf borderId="3" fillId="3" fontId="9" numFmtId="2" xfId="0" applyAlignment="1" applyBorder="1" applyFont="1" applyNumberFormat="1">
      <alignment horizontal="center" vertical="center"/>
    </xf>
    <xf borderId="0" fillId="3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4" fillId="3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bottom"/>
    </xf>
    <xf borderId="4" fillId="2" fontId="11" numFmtId="1" xfId="0" applyAlignment="1" applyBorder="1" applyFont="1" applyNumberFormat="1">
      <alignment horizontal="center" readingOrder="0" shrinkToFit="0" wrapText="0"/>
    </xf>
    <xf borderId="4" fillId="2" fontId="11" numFmtId="0" xfId="0" applyAlignment="1" applyBorder="1" applyFont="1">
      <alignment readingOrder="0" shrinkToFit="0" wrapText="0"/>
    </xf>
    <xf borderId="4" fillId="2" fontId="11" numFmtId="0" xfId="0" applyAlignment="1" applyBorder="1" applyFont="1">
      <alignment horizontal="center" readingOrder="0" shrinkToFit="0" wrapText="0"/>
    </xf>
    <xf borderId="3" fillId="2" fontId="2" numFmtId="0" xfId="0" applyAlignment="1" applyBorder="1" applyFont="1">
      <alignment vertical="bottom"/>
    </xf>
    <xf borderId="4" fillId="0" fontId="12" numFmtId="0" xfId="0" applyAlignment="1" applyBorder="1" applyFont="1">
      <alignment horizontal="center" readingOrder="0" vertical="bottom"/>
    </xf>
    <xf borderId="4" fillId="0" fontId="11" numFmtId="1" xfId="0" applyAlignment="1" applyBorder="1" applyFont="1" applyNumberFormat="1">
      <alignment horizontal="center" readingOrder="0" shrinkToFit="0" vertical="bottom" wrapText="0"/>
    </xf>
    <xf borderId="4" fillId="0" fontId="11" numFmtId="1" xfId="0" applyAlignment="1" applyBorder="1" applyFont="1" applyNumberFormat="1">
      <alignment horizontal="center" readingOrder="0" shrinkToFit="0" wrapText="1"/>
    </xf>
    <xf borderId="3" fillId="0" fontId="12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readingOrder="0" shrinkToFit="0" vertical="bottom" wrapText="0"/>
    </xf>
    <xf borderId="3" fillId="0" fontId="13" numFmtId="2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4" fillId="2" fontId="16" numFmtId="0" xfId="0" applyAlignment="1" applyBorder="1" applyFont="1">
      <alignment horizontal="center" readingOrder="0"/>
    </xf>
    <xf borderId="0" fillId="0" fontId="17" numFmtId="1" xfId="0" applyFont="1" applyNumberFormat="1"/>
    <xf borderId="4" fillId="0" fontId="11" numFmtId="1" xfId="0" applyAlignment="1" applyBorder="1" applyFont="1" applyNumberFormat="1">
      <alignment horizontal="center" shrinkToFit="0" vertical="bottom" wrapText="0"/>
    </xf>
    <xf borderId="3" fillId="2" fontId="12" numFmtId="0" xfId="0" applyAlignment="1" applyBorder="1" applyFont="1">
      <alignment horizontal="center" readingOrder="0" vertical="bottom"/>
    </xf>
    <xf borderId="4" fillId="2" fontId="11" numFmtId="0" xfId="0" applyAlignment="1" applyBorder="1" applyFont="1">
      <alignment readingOrder="0" vertical="bottom"/>
    </xf>
    <xf borderId="4" fillId="2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0" fontId="2" numFmtId="1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0" fillId="0" fontId="17" numFmtId="0" xfId="0" applyAlignment="1" applyFont="1">
      <alignment horizontal="left"/>
    </xf>
    <xf borderId="0" fillId="0" fontId="2" numFmtId="2" xfId="0" applyAlignment="1" applyFont="1" applyNumberFormat="1">
      <alignment vertical="bottom"/>
    </xf>
    <xf borderId="5" fillId="0" fontId="2" numFmtId="1" xfId="0" applyAlignment="1" applyBorder="1" applyFont="1" applyNumberFormat="1">
      <alignment vertical="bottom"/>
    </xf>
    <xf borderId="1" fillId="4" fontId="3" numFmtId="0" xfId="0" applyAlignment="1" applyBorder="1" applyFill="1" applyFont="1">
      <alignment horizontal="center"/>
    </xf>
    <xf borderId="3" fillId="0" fontId="8" numFmtId="0" xfId="0" applyBorder="1" applyFont="1"/>
    <xf borderId="3" fillId="4" fontId="2" numFmtId="0" xfId="0" applyAlignment="1" applyBorder="1" applyFont="1">
      <alignment vertical="bottom"/>
    </xf>
    <xf borderId="3" fillId="4" fontId="18" numFmtId="0" xfId="0" applyAlignment="1" applyBorder="1" applyFont="1">
      <alignment horizontal="center"/>
    </xf>
    <xf borderId="0" fillId="2" fontId="2" numFmtId="0" xfId="0" applyFont="1"/>
    <xf borderId="1" fillId="3" fontId="3" numFmtId="0" xfId="0" applyAlignment="1" applyBorder="1" applyFont="1">
      <alignment horizontal="center"/>
    </xf>
    <xf borderId="3" fillId="3" fontId="2" numFmtId="0" xfId="0" applyAlignment="1" applyBorder="1" applyFont="1">
      <alignment vertical="bottom"/>
    </xf>
    <xf borderId="3" fillId="3" fontId="19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3" fillId="5" fontId="2" numFmtId="0" xfId="0" applyAlignment="1" applyBorder="1" applyFont="1">
      <alignment vertical="bottom"/>
    </xf>
    <xf borderId="3" fillId="5" fontId="19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/>
    </xf>
    <xf borderId="3" fillId="6" fontId="2" numFmtId="0" xfId="0" applyAlignment="1" applyBorder="1" applyFont="1">
      <alignment vertical="bottom"/>
    </xf>
    <xf borderId="3" fillId="6" fontId="19" numFmtId="0" xfId="0" applyAlignment="1" applyBorder="1" applyFont="1">
      <alignment horizontal="center"/>
    </xf>
    <xf borderId="5" fillId="0" fontId="2" numFmtId="0" xfId="0" applyAlignment="1" applyBorder="1" applyFont="1">
      <alignment vertical="bottom"/>
    </xf>
    <xf borderId="1" fillId="7" fontId="3" numFmtId="0" xfId="0" applyAlignment="1" applyBorder="1" applyFill="1" applyFont="1">
      <alignment horizontal="center"/>
    </xf>
    <xf borderId="3" fillId="7" fontId="2" numFmtId="0" xfId="0" applyAlignment="1" applyBorder="1" applyFont="1">
      <alignment vertical="bottom"/>
    </xf>
    <xf borderId="3" fillId="7" fontId="18" numFmtId="0" xfId="0" applyAlignment="1" applyBorder="1" applyFont="1">
      <alignment horizontal="center"/>
    </xf>
    <xf borderId="1" fillId="8" fontId="3" numFmtId="0" xfId="0" applyAlignment="1" applyBorder="1" applyFill="1" applyFont="1">
      <alignment horizontal="center"/>
    </xf>
    <xf borderId="3" fillId="8" fontId="2" numFmtId="0" xfId="0" applyAlignment="1" applyBorder="1" applyFont="1">
      <alignment vertical="bottom"/>
    </xf>
    <xf borderId="3" fillId="8" fontId="19" numFmtId="2" xfId="0" applyAlignment="1" applyBorder="1" applyFont="1" applyNumberFormat="1">
      <alignment horizontal="center"/>
    </xf>
    <xf borderId="0" fillId="2" fontId="2" numFmtId="2" xfId="0" applyFont="1" applyNumberFormat="1"/>
    <xf borderId="1" fillId="9" fontId="3" numFmtId="0" xfId="0" applyAlignment="1" applyBorder="1" applyFill="1" applyFont="1">
      <alignment horizontal="center"/>
    </xf>
    <xf borderId="3" fillId="9" fontId="2" numFmtId="0" xfId="0" applyAlignment="1" applyBorder="1" applyFont="1">
      <alignment vertical="bottom"/>
    </xf>
    <xf borderId="3" fillId="9" fontId="18" numFmtId="0" xfId="0" applyAlignment="1" applyBorder="1" applyFont="1">
      <alignment horizontal="center"/>
    </xf>
    <xf borderId="1" fillId="2" fontId="2" numFmtId="0" xfId="0" applyBorder="1" applyFont="1"/>
    <xf borderId="1" fillId="0" fontId="2" numFmtId="2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1" fillId="10" fontId="20" numFmtId="0" xfId="0" applyAlignment="1" applyBorder="1" applyFill="1" applyFont="1">
      <alignment horizontal="center"/>
    </xf>
    <xf borderId="5" fillId="10" fontId="2" numFmtId="0" xfId="0" applyAlignment="1" applyBorder="1" applyFont="1">
      <alignment vertical="bottom"/>
    </xf>
    <xf borderId="3" fillId="10" fontId="21" numFmtId="1" xfId="0" applyAlignment="1" applyBorder="1" applyFont="1" applyNumberFormat="1">
      <alignment horizontal="center"/>
    </xf>
    <xf borderId="3" fillId="10" fontId="2" numFmtId="0" xfId="0" applyAlignment="1" applyBorder="1" applyFont="1">
      <alignment vertical="bottom"/>
    </xf>
    <xf borderId="3" fillId="10" fontId="21" numFmtId="2" xfId="0" applyAlignment="1" applyBorder="1" applyFont="1" applyNumberFormat="1">
      <alignment horizontal="center"/>
    </xf>
    <xf borderId="3" fillId="10" fontId="22" numFmtId="2" xfId="0" applyAlignment="1" applyBorder="1" applyFont="1" applyNumberFormat="1">
      <alignment horizontal="center"/>
    </xf>
    <xf borderId="0" fillId="2" fontId="2" numFmtId="2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14" numFmtId="0" xfId="0" applyAlignment="1" applyBorder="1" applyFont="1">
      <alignment vertical="bottom"/>
    </xf>
    <xf borderId="5" fillId="11" fontId="14" numFmtId="0" xfId="0" applyAlignment="1" applyBorder="1" applyFill="1" applyFont="1">
      <alignment horizontal="center"/>
    </xf>
    <xf borderId="3" fillId="11" fontId="14" numFmtId="0" xfId="0" applyAlignment="1" applyBorder="1" applyFont="1">
      <alignment vertical="bottom"/>
    </xf>
    <xf borderId="0" fillId="11" fontId="2" numFmtId="0" xfId="0" applyAlignment="1" applyFont="1">
      <alignment horizontal="center" vertical="bottom"/>
    </xf>
    <xf borderId="5" fillId="11" fontId="2" numFmtId="0" xfId="0" applyAlignment="1" applyBorder="1" applyFont="1">
      <alignment vertical="bottom"/>
    </xf>
    <xf borderId="3" fillId="11" fontId="14" numFmtId="0" xfId="0" applyAlignment="1" applyBorder="1" applyFont="1">
      <alignment horizontal="center" vertical="bottom"/>
    </xf>
    <xf borderId="3" fillId="11" fontId="14" numFmtId="2" xfId="0" applyAlignment="1" applyBorder="1" applyFont="1" applyNumberFormat="1">
      <alignment horizontal="right" vertical="bottom"/>
    </xf>
    <xf borderId="3" fillId="11" fontId="15" numFmtId="0" xfId="0" applyAlignment="1" applyBorder="1" applyFont="1">
      <alignment horizontal="center" vertical="bottom"/>
    </xf>
    <xf borderId="5" fillId="12" fontId="14" numFmtId="0" xfId="0" applyAlignment="1" applyBorder="1" applyFill="1" applyFont="1">
      <alignment horizontal="center"/>
    </xf>
    <xf borderId="3" fillId="12" fontId="14" numFmtId="0" xfId="0" applyAlignment="1" applyBorder="1" applyFont="1">
      <alignment vertical="bottom"/>
    </xf>
    <xf borderId="0" fillId="12" fontId="2" numFmtId="0" xfId="0" applyAlignment="1" applyFont="1">
      <alignment horizontal="center" vertical="bottom"/>
    </xf>
    <xf borderId="5" fillId="12" fontId="2" numFmtId="0" xfId="0" applyAlignment="1" applyBorder="1" applyFont="1">
      <alignment vertical="bottom"/>
    </xf>
    <xf borderId="3" fillId="12" fontId="14" numFmtId="0" xfId="0" applyAlignment="1" applyBorder="1" applyFont="1">
      <alignment horizontal="center" vertical="bottom"/>
    </xf>
    <xf borderId="3" fillId="12" fontId="14" numFmtId="2" xfId="0" applyAlignment="1" applyBorder="1" applyFont="1" applyNumberFormat="1">
      <alignment horizontal="right" vertical="bottom"/>
    </xf>
    <xf borderId="3" fillId="12" fontId="15" numFmtId="0" xfId="0" applyAlignment="1" applyBorder="1" applyFont="1">
      <alignment horizontal="center" vertical="bottom"/>
    </xf>
    <xf borderId="5" fillId="13" fontId="14" numFmtId="0" xfId="0" applyAlignment="1" applyBorder="1" applyFill="1" applyFont="1">
      <alignment horizontal="center"/>
    </xf>
    <xf borderId="3" fillId="13" fontId="14" numFmtId="0" xfId="0" applyAlignment="1" applyBorder="1" applyFont="1">
      <alignment vertical="bottom"/>
    </xf>
    <xf borderId="0" fillId="13" fontId="2" numFmtId="0" xfId="0" applyAlignment="1" applyFont="1">
      <alignment horizontal="center" vertical="bottom"/>
    </xf>
    <xf borderId="5" fillId="13" fontId="2" numFmtId="0" xfId="0" applyAlignment="1" applyBorder="1" applyFont="1">
      <alignment vertical="bottom"/>
    </xf>
    <xf borderId="3" fillId="13" fontId="14" numFmtId="0" xfId="0" applyAlignment="1" applyBorder="1" applyFont="1">
      <alignment horizontal="center" vertical="bottom"/>
    </xf>
    <xf borderId="3" fillId="13" fontId="14" numFmtId="2" xfId="0" applyAlignment="1" applyBorder="1" applyFont="1" applyNumberFormat="1">
      <alignment horizontal="center" vertical="bottom"/>
    </xf>
    <xf borderId="5" fillId="14" fontId="14" numFmtId="0" xfId="0" applyAlignment="1" applyBorder="1" applyFill="1" applyFont="1">
      <alignment horizontal="center"/>
    </xf>
    <xf borderId="3" fillId="14" fontId="14" numFmtId="0" xfId="0" applyAlignment="1" applyBorder="1" applyFont="1">
      <alignment vertical="bottom"/>
    </xf>
    <xf borderId="0" fillId="14" fontId="2" numFmtId="0" xfId="0" applyAlignment="1" applyFont="1">
      <alignment horizontal="center" vertical="bottom"/>
    </xf>
    <xf borderId="5" fillId="14" fontId="2" numFmtId="0" xfId="0" applyAlignment="1" applyBorder="1" applyFont="1">
      <alignment vertical="bottom"/>
    </xf>
    <xf borderId="3" fillId="14" fontId="14" numFmtId="0" xfId="0" applyAlignment="1" applyBorder="1" applyFont="1">
      <alignment horizontal="center" vertical="bottom"/>
    </xf>
    <xf borderId="3" fillId="14" fontId="14" numFmtId="2" xfId="0" applyAlignment="1" applyBorder="1" applyFont="1" applyNumberFormat="1">
      <alignment horizontal="right" vertical="bottom"/>
    </xf>
    <xf borderId="1" fillId="12" fontId="23" numFmtId="0" xfId="0" applyAlignment="1" applyBorder="1" applyFont="1">
      <alignment horizontal="center"/>
    </xf>
    <xf borderId="3" fillId="12" fontId="2" numFmtId="0" xfId="0" applyBorder="1" applyFont="1"/>
    <xf borderId="3" fillId="12" fontId="23" numFmtId="0" xfId="0" applyAlignment="1" applyBorder="1" applyFont="1">
      <alignment horizontal="center"/>
    </xf>
    <xf borderId="3" fillId="12" fontId="24" numFmtId="0" xfId="0" applyAlignment="1" applyBorder="1" applyFont="1">
      <alignment horizontal="center" readingOrder="0"/>
    </xf>
    <xf borderId="3" fillId="12" fontId="9" numFmtId="0" xfId="0" applyAlignment="1" applyBorder="1" applyFont="1">
      <alignment horizontal="center" vertical="bottom"/>
    </xf>
    <xf borderId="1" fillId="15" fontId="25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3" fillId="0" fontId="18" numFmtId="0" xfId="0" applyAlignment="1" applyBorder="1" applyFont="1">
      <alignment horizontal="center"/>
    </xf>
    <xf borderId="3" fillId="0" fontId="18" numFmtId="0" xfId="0" applyAlignment="1" applyBorder="1" applyFont="1">
      <alignment horizontal="center" vertical="bottom"/>
    </xf>
    <xf borderId="1" fillId="15" fontId="26" numFmtId="0" xfId="0" applyAlignment="1" applyBorder="1" applyFont="1">
      <alignment vertical="bottom"/>
    </xf>
    <xf borderId="3" fillId="10" fontId="19" numFmtId="2" xfId="0" applyAlignment="1" applyBorder="1" applyFont="1" applyNumberFormat="1">
      <alignment horizontal="center"/>
    </xf>
    <xf borderId="3" fillId="10" fontId="19" numFmtId="2" xfId="0" applyAlignment="1" applyBorder="1" applyFont="1" applyNumberFormat="1">
      <alignment horizontal="center" vertical="bottom"/>
    </xf>
    <xf borderId="0" fillId="0" fontId="2" numFmtId="0" xfId="0" applyAlignment="1" applyFont="1">
      <alignment shrinkToFit="0" vertical="bottom" wrapText="0"/>
    </xf>
    <xf borderId="0" fillId="0" fontId="17" numFmtId="0" xfId="0" applyAlignment="1" applyFont="1">
      <alignment horizontal="center"/>
    </xf>
    <xf borderId="0" fillId="3" fontId="2" numFmtId="0" xfId="0" applyAlignment="1" applyFont="1">
      <alignment vertical="bottom"/>
    </xf>
    <xf borderId="4" fillId="3" fontId="9" numFmtId="0" xfId="0" applyAlignment="1" applyBorder="1" applyFont="1">
      <alignment horizontal="center" shrinkToFit="0" wrapText="1"/>
    </xf>
    <xf borderId="4" fillId="16" fontId="11" numFmtId="1" xfId="0" applyAlignment="1" applyBorder="1" applyFill="1" applyFont="1" applyNumberFormat="1">
      <alignment horizontal="center" readingOrder="0" shrinkToFit="0" wrapText="0"/>
    </xf>
    <xf borderId="4" fillId="16" fontId="11" numFmtId="0" xfId="0" applyAlignment="1" applyBorder="1" applyFont="1">
      <alignment readingOrder="0" shrinkToFit="0" wrapText="0"/>
    </xf>
    <xf borderId="4" fillId="16" fontId="11" numFmtId="0" xfId="0" applyAlignment="1" applyBorder="1" applyFont="1">
      <alignment horizontal="center" readingOrder="0" shrinkToFit="0" wrapText="0"/>
    </xf>
    <xf borderId="4" fillId="0" fontId="27" numFmtId="0" xfId="0" applyAlignment="1" applyBorder="1" applyFont="1">
      <alignment horizontal="center" readingOrder="0" shrinkToFit="0" vertical="bottom" wrapText="0"/>
    </xf>
    <xf borderId="3" fillId="0" fontId="12" numFmtId="1" xfId="0" applyAlignment="1" applyBorder="1" applyFont="1" applyNumberFormat="1">
      <alignment horizontal="center" vertical="bottom"/>
    </xf>
    <xf borderId="3" fillId="0" fontId="28" numFmtId="1" xfId="0" applyAlignment="1" applyBorder="1" applyFont="1" applyNumberFormat="1">
      <alignment horizontal="center" readingOrder="0" vertical="bottom"/>
    </xf>
    <xf borderId="3" fillId="0" fontId="12" numFmtId="1" xfId="0" applyAlignment="1" applyBorder="1" applyFont="1" applyNumberFormat="1">
      <alignment horizontal="center" readingOrder="0" vertical="bottom"/>
    </xf>
    <xf borderId="3" fillId="0" fontId="29" numFmtId="1" xfId="0" applyAlignment="1" applyBorder="1" applyFont="1" applyNumberFormat="1">
      <alignment horizontal="center" readingOrder="0" vertical="bottom"/>
    </xf>
    <xf borderId="0" fillId="0" fontId="27" numFmtId="1" xfId="0" applyAlignment="1" applyFont="1" applyNumberFormat="1">
      <alignment shrinkToFit="0" vertical="bottom" wrapText="0"/>
    </xf>
    <xf borderId="0" fillId="0" fontId="27" numFmtId="0" xfId="0" applyAlignment="1" applyFont="1">
      <alignment shrinkToFit="0" vertical="bottom" wrapText="0"/>
    </xf>
    <xf borderId="3" fillId="8" fontId="30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vertical="bottom"/>
    </xf>
    <xf borderId="3" fillId="11" fontId="14" numFmtId="0" xfId="0" applyAlignment="1" applyBorder="1" applyFont="1">
      <alignment horizontal="right" vertical="bottom"/>
    </xf>
    <xf borderId="3" fillId="11" fontId="15" numFmtId="0" xfId="0" applyAlignment="1" applyBorder="1" applyFont="1">
      <alignment horizontal="right" vertical="bottom"/>
    </xf>
    <xf borderId="3" fillId="12" fontId="14" numFmtId="0" xfId="0" applyAlignment="1" applyBorder="1" applyFont="1">
      <alignment horizontal="right" vertical="bottom"/>
    </xf>
    <xf borderId="3" fillId="12" fontId="15" numFmtId="0" xfId="0" applyAlignment="1" applyBorder="1" applyFont="1">
      <alignment horizontal="right" vertical="bottom"/>
    </xf>
    <xf borderId="3" fillId="14" fontId="14" numFmtId="0" xfId="0" applyAlignment="1" applyBorder="1" applyFont="1">
      <alignment horizontal="right" vertical="bottom"/>
    </xf>
    <xf borderId="3" fillId="12" fontId="23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shrinkToFit="0" wrapText="0"/>
    </xf>
    <xf borderId="3" fillId="2" fontId="12" numFmtId="1" xfId="0" applyAlignment="1" applyBorder="1" applyFont="1" applyNumberFormat="1">
      <alignment horizontal="center" vertical="bottom"/>
    </xf>
    <xf borderId="4" fillId="0" fontId="31" numFmtId="1" xfId="0" applyAlignment="1" applyBorder="1" applyFont="1" applyNumberForma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 shrinkToFit="0" vertical="bottom" wrapText="1"/>
    </xf>
    <xf borderId="0" fillId="0" fontId="17" numFmtId="1" xfId="0" applyAlignment="1" applyFont="1" applyNumberFormat="1">
      <alignment horizontal="center" readingOrder="0"/>
    </xf>
    <xf borderId="3" fillId="0" fontId="32" numFmtId="1" xfId="0" applyAlignment="1" applyBorder="1" applyFont="1" applyNumberFormat="1">
      <alignment horizontal="center" readingOrder="0" shrinkToFit="0" vertical="bottom" wrapText="0"/>
    </xf>
    <xf borderId="3" fillId="2" fontId="12" numFmtId="1" xfId="0" applyAlignment="1" applyBorder="1" applyFont="1" applyNumberFormat="1">
      <alignment horizontal="center" readingOrder="0" vertical="bottom"/>
    </xf>
    <xf borderId="3" fillId="0" fontId="32" numFmtId="0" xfId="0" applyAlignment="1" applyBorder="1" applyFont="1">
      <alignment horizontal="center" readingOrder="0" shrinkToFit="0" vertical="bottom" wrapText="0"/>
    </xf>
    <xf borderId="4" fillId="2" fontId="11" numFmtId="0" xfId="0" applyAlignment="1" applyBorder="1" applyFont="1">
      <alignment readingOrder="0"/>
    </xf>
    <xf borderId="3" fillId="17" fontId="12" numFmtId="0" xfId="0" applyAlignment="1" applyBorder="1" applyFill="1" applyFont="1">
      <alignment horizontal="center" readingOrder="0" vertical="bottom"/>
    </xf>
    <xf borderId="0" fillId="2" fontId="16" numFmtId="0" xfId="0" applyAlignment="1" applyFont="1">
      <alignment horizontal="center" readingOrder="0" vertical="bottom"/>
    </xf>
    <xf borderId="0" fillId="11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0" fontId="33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2" fontId="33" numFmtId="0" xfId="0" applyAlignment="1" applyFont="1">
      <alignment horizontal="center" readingOrder="0"/>
    </xf>
    <xf borderId="0" fillId="0" fontId="35" numFmtId="0" xfId="0" applyAlignment="1" applyFont="1">
      <alignment horizontal="center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8" fontId="23" numFmtId="0" xfId="0" applyAlignment="1" applyBorder="1" applyFont="1">
      <alignment horizontal="center" shrinkToFit="0" wrapText="1"/>
    </xf>
    <xf borderId="8" fillId="0" fontId="8" numFmtId="0" xfId="0" applyBorder="1" applyFont="1"/>
    <xf borderId="8" fillId="0" fontId="36" numFmtId="0" xfId="0" applyAlignment="1" applyBorder="1" applyFont="1">
      <alignment horizontal="center" shrinkToFit="0" wrapText="1"/>
    </xf>
    <xf borderId="8" fillId="0" fontId="36" numFmtId="1" xfId="0" applyAlignment="1" applyBorder="1" applyFont="1" applyNumberFormat="1">
      <alignment horizontal="center" shrinkToFit="0" wrapText="1"/>
    </xf>
    <xf borderId="8" fillId="0" fontId="36" numFmtId="2" xfId="0" applyAlignment="1" applyBorder="1" applyFont="1" applyNumberFormat="1">
      <alignment horizontal="center" shrinkToFit="0" wrapText="1"/>
    </xf>
    <xf borderId="9" fillId="2" fontId="33" numFmtId="0" xfId="0" applyAlignment="1" applyBorder="1" applyFont="1">
      <alignment horizontal="center"/>
    </xf>
    <xf borderId="10" fillId="0" fontId="8" numFmtId="0" xfId="0" applyBorder="1" applyFont="1"/>
    <xf borderId="11" fillId="0" fontId="8" numFmtId="0" xfId="0" applyBorder="1" applyFont="1"/>
    <xf borderId="12" fillId="0" fontId="2" numFmtId="0" xfId="0" applyAlignment="1" applyBorder="1" applyFont="1">
      <alignment vertical="bottom"/>
    </xf>
    <xf borderId="13" fillId="14" fontId="23" numFmtId="0" xfId="0" applyAlignment="1" applyBorder="1" applyFont="1">
      <alignment horizontal="center" shrinkToFit="0" wrapText="1"/>
    </xf>
    <xf borderId="3" fillId="14" fontId="9" numFmtId="0" xfId="0" applyAlignment="1" applyBorder="1" applyFont="1">
      <alignment horizontal="center" shrinkToFit="0" wrapText="1"/>
    </xf>
    <xf borderId="8" fillId="0" fontId="36" numFmtId="0" xfId="0" applyAlignment="1" applyBorder="1" applyFont="1">
      <alignment horizontal="center" shrinkToFit="0" vertical="bottom" wrapText="1"/>
    </xf>
    <xf borderId="8" fillId="0" fontId="14" numFmtId="0" xfId="0" applyAlignment="1" applyBorder="1" applyFont="1">
      <alignment horizontal="center"/>
    </xf>
    <xf borderId="8" fillId="12" fontId="36" numFmtId="0" xfId="0" applyAlignment="1" applyBorder="1" applyFont="1">
      <alignment horizontal="center" shrinkToFit="0" wrapText="1"/>
    </xf>
    <xf borderId="14" fillId="12" fontId="36" numFmtId="0" xfId="0" applyAlignment="1" applyBorder="1" applyFont="1">
      <alignment horizontal="center" shrinkToFit="0" wrapText="1"/>
    </xf>
    <xf borderId="8" fillId="0" fontId="23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3" max="3" width="44.13"/>
    <col customWidth="1" min="4" max="4" width="4.75"/>
    <col customWidth="1" min="5" max="5" width="4.0"/>
    <col customWidth="1" min="6" max="6" width="5.5"/>
    <col hidden="1" min="7" max="7" width="12.63"/>
    <col customWidth="1" min="8" max="8" width="7.63"/>
    <col customWidth="1" min="9" max="9" width="8.88"/>
    <col customWidth="1" min="10" max="10" width="9.0"/>
    <col customWidth="1" min="11" max="11" width="8.38"/>
    <col customWidth="1" min="12" max="12" width="10.88"/>
    <col customWidth="1" min="13" max="13" width="9.0"/>
    <col customWidth="1" min="14" max="14" width="8.25"/>
    <col hidden="1" min="15" max="16" width="12.63"/>
    <col customWidth="1" min="17" max="17" width="7.75"/>
  </cols>
  <sheetData>
    <row r="1">
      <c r="A1" s="1" t="s">
        <v>0</v>
      </c>
      <c r="P1" s="2"/>
      <c r="Q1" s="2"/>
    </row>
    <row r="2">
      <c r="A2" s="3" t="s">
        <v>1</v>
      </c>
      <c r="P2" s="2"/>
      <c r="Q2" s="2"/>
    </row>
    <row r="3">
      <c r="A3" s="4" t="s">
        <v>2</v>
      </c>
      <c r="P3" s="2"/>
      <c r="Q3" s="2"/>
    </row>
    <row r="4">
      <c r="A4" s="5" t="s">
        <v>3</v>
      </c>
      <c r="O4" s="6"/>
      <c r="P4" s="2"/>
      <c r="Q4" s="2"/>
    </row>
    <row r="5">
      <c r="A5" s="7" t="s">
        <v>4</v>
      </c>
      <c r="O5" s="2"/>
      <c r="P5" s="2"/>
      <c r="Q5" s="2"/>
    </row>
    <row r="6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"/>
      <c r="Q6" s="2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4" t="s">
        <v>18</v>
      </c>
      <c r="N7" s="13" t="s">
        <v>19</v>
      </c>
      <c r="O7" s="15"/>
      <c r="P7" s="16" t="s">
        <v>20</v>
      </c>
      <c r="Q7" s="17" t="s">
        <v>21</v>
      </c>
    </row>
    <row r="8">
      <c r="A8" s="18">
        <v>1.0</v>
      </c>
      <c r="B8" s="19">
        <v>1.11625201001E11</v>
      </c>
      <c r="C8" s="20" t="s">
        <v>22</v>
      </c>
      <c r="D8" s="21" t="s">
        <v>23</v>
      </c>
      <c r="E8" s="21" t="s">
        <v>24</v>
      </c>
      <c r="F8" s="21" t="s">
        <v>23</v>
      </c>
      <c r="G8" s="22"/>
      <c r="H8" s="23" t="s">
        <v>25</v>
      </c>
      <c r="I8" s="24" t="s">
        <v>25</v>
      </c>
      <c r="J8" s="25">
        <v>63.0</v>
      </c>
      <c r="K8" s="26">
        <v>30.0</v>
      </c>
      <c r="L8" s="27">
        <v>80.0</v>
      </c>
      <c r="M8" s="28">
        <f t="shared" ref="M8:M69" si="1">sum(H8:L8)/5</f>
        <v>34.6</v>
      </c>
      <c r="N8" s="29">
        <f t="shared" ref="N8:N69" si="2">((COUNTIF((H8:L8),"&lt;50"))+(COUNTIF((H8:L8),"=A")))</f>
        <v>3</v>
      </c>
      <c r="O8" s="30" t="str">
        <f t="shared" ref="O8:O24" si="3">IF((N8&lt;1),"0","1")</f>
        <v>1</v>
      </c>
      <c r="P8" s="31">
        <f t="shared" ref="P8:P24" si="4">COUNTIF((H8:L8),"=A")</f>
        <v>2</v>
      </c>
      <c r="Q8" s="32">
        <v>91.0</v>
      </c>
      <c r="S8" s="33"/>
    </row>
    <row r="9">
      <c r="A9" s="18">
        <v>2.0</v>
      </c>
      <c r="B9" s="19">
        <v>1.11625201002E11</v>
      </c>
      <c r="C9" s="20" t="s">
        <v>26</v>
      </c>
      <c r="D9" s="21" t="s">
        <v>27</v>
      </c>
      <c r="E9" s="21" t="s">
        <v>24</v>
      </c>
      <c r="F9" s="21" t="s">
        <v>23</v>
      </c>
      <c r="G9" s="22"/>
      <c r="H9" s="23">
        <v>67.0</v>
      </c>
      <c r="I9" s="34">
        <v>53.333333333333336</v>
      </c>
      <c r="J9" s="25">
        <v>53.0</v>
      </c>
      <c r="K9" s="26">
        <v>60.0</v>
      </c>
      <c r="L9" s="27">
        <v>63.0</v>
      </c>
      <c r="M9" s="28">
        <f t="shared" si="1"/>
        <v>59.26666667</v>
      </c>
      <c r="N9" s="29">
        <f t="shared" si="2"/>
        <v>0</v>
      </c>
      <c r="O9" s="30" t="str">
        <f t="shared" si="3"/>
        <v>0</v>
      </c>
      <c r="P9" s="31">
        <f t="shared" si="4"/>
        <v>0</v>
      </c>
      <c r="Q9" s="32">
        <v>100.0</v>
      </c>
      <c r="S9" s="33"/>
    </row>
    <row r="10">
      <c r="A10" s="18">
        <v>3.0</v>
      </c>
      <c r="B10" s="19">
        <v>1.11625201003E11</v>
      </c>
      <c r="C10" s="20" t="s">
        <v>28</v>
      </c>
      <c r="D10" s="21" t="s">
        <v>23</v>
      </c>
      <c r="E10" s="21" t="s">
        <v>24</v>
      </c>
      <c r="F10" s="21" t="s">
        <v>23</v>
      </c>
      <c r="G10" s="22"/>
      <c r="H10" s="23">
        <v>50.0</v>
      </c>
      <c r="I10" s="34">
        <v>50.0</v>
      </c>
      <c r="J10" s="25">
        <v>20.0</v>
      </c>
      <c r="K10" s="26">
        <v>30.0</v>
      </c>
      <c r="L10" s="27">
        <v>13.0</v>
      </c>
      <c r="M10" s="28">
        <f t="shared" si="1"/>
        <v>32.6</v>
      </c>
      <c r="N10" s="29">
        <f t="shared" si="2"/>
        <v>3</v>
      </c>
      <c r="O10" s="30" t="str">
        <f t="shared" si="3"/>
        <v>1</v>
      </c>
      <c r="P10" s="31">
        <f t="shared" si="4"/>
        <v>0</v>
      </c>
      <c r="Q10" s="32">
        <v>100.0</v>
      </c>
      <c r="S10" s="33"/>
    </row>
    <row r="11">
      <c r="A11" s="18">
        <v>4.0</v>
      </c>
      <c r="B11" s="19">
        <v>1.11625201004E11</v>
      </c>
      <c r="C11" s="20" t="s">
        <v>29</v>
      </c>
      <c r="D11" s="21" t="s">
        <v>23</v>
      </c>
      <c r="E11" s="21" t="s">
        <v>30</v>
      </c>
      <c r="F11" s="21" t="s">
        <v>23</v>
      </c>
      <c r="G11" s="22"/>
      <c r="H11" s="23">
        <v>53.0</v>
      </c>
      <c r="I11" s="34">
        <v>73.33333333333333</v>
      </c>
      <c r="J11" s="25">
        <v>63.0</v>
      </c>
      <c r="K11" s="26">
        <v>73.0</v>
      </c>
      <c r="L11" s="27">
        <v>67.0</v>
      </c>
      <c r="M11" s="28">
        <f t="shared" si="1"/>
        <v>65.86666667</v>
      </c>
      <c r="N11" s="29">
        <f t="shared" si="2"/>
        <v>0</v>
      </c>
      <c r="O11" s="30" t="str">
        <f t="shared" si="3"/>
        <v>0</v>
      </c>
      <c r="P11" s="31">
        <f t="shared" si="4"/>
        <v>0</v>
      </c>
      <c r="Q11" s="32">
        <v>98.0</v>
      </c>
      <c r="S11" s="33"/>
    </row>
    <row r="12">
      <c r="A12" s="18">
        <v>5.0</v>
      </c>
      <c r="B12" s="19">
        <v>1.11625201005E11</v>
      </c>
      <c r="C12" s="20" t="s">
        <v>31</v>
      </c>
      <c r="D12" s="21" t="s">
        <v>27</v>
      </c>
      <c r="E12" s="21" t="s">
        <v>30</v>
      </c>
      <c r="F12" s="21" t="s">
        <v>32</v>
      </c>
      <c r="G12" s="22"/>
      <c r="H12" s="23">
        <v>67.0</v>
      </c>
      <c r="I12" s="34">
        <v>70.0</v>
      </c>
      <c r="J12" s="25">
        <v>80.0</v>
      </c>
      <c r="K12" s="26">
        <v>77.0</v>
      </c>
      <c r="L12" s="27">
        <v>80.0</v>
      </c>
      <c r="M12" s="28">
        <f t="shared" si="1"/>
        <v>74.8</v>
      </c>
      <c r="N12" s="29">
        <f t="shared" si="2"/>
        <v>0</v>
      </c>
      <c r="O12" s="30" t="str">
        <f t="shared" si="3"/>
        <v>0</v>
      </c>
      <c r="P12" s="31">
        <f t="shared" si="4"/>
        <v>0</v>
      </c>
      <c r="Q12" s="32">
        <v>98.0</v>
      </c>
      <c r="S12" s="33"/>
    </row>
    <row r="13">
      <c r="A13" s="18">
        <v>6.0</v>
      </c>
      <c r="B13" s="19">
        <v>1.11625201006E11</v>
      </c>
      <c r="C13" s="20" t="s">
        <v>33</v>
      </c>
      <c r="D13" s="21" t="s">
        <v>23</v>
      </c>
      <c r="E13" s="21" t="s">
        <v>24</v>
      </c>
      <c r="F13" s="21" t="s">
        <v>32</v>
      </c>
      <c r="G13" s="22"/>
      <c r="H13" s="23">
        <v>53.0</v>
      </c>
      <c r="I13" s="34">
        <v>93.33333333333333</v>
      </c>
      <c r="J13" s="25">
        <v>77.0</v>
      </c>
      <c r="K13" s="26">
        <v>53.0</v>
      </c>
      <c r="L13" s="27">
        <v>90.0</v>
      </c>
      <c r="M13" s="28">
        <f t="shared" si="1"/>
        <v>73.26666667</v>
      </c>
      <c r="N13" s="29">
        <f t="shared" si="2"/>
        <v>0</v>
      </c>
      <c r="O13" s="30" t="str">
        <f t="shared" si="3"/>
        <v>0</v>
      </c>
      <c r="P13" s="31">
        <f t="shared" si="4"/>
        <v>0</v>
      </c>
      <c r="Q13" s="32">
        <v>100.0</v>
      </c>
      <c r="S13" s="33"/>
    </row>
    <row r="14">
      <c r="A14" s="18">
        <v>7.0</v>
      </c>
      <c r="B14" s="19">
        <v>1.11625201007E11</v>
      </c>
      <c r="C14" s="20" t="s">
        <v>34</v>
      </c>
      <c r="D14" s="21" t="s">
        <v>23</v>
      </c>
      <c r="E14" s="21" t="s">
        <v>30</v>
      </c>
      <c r="F14" s="21" t="s">
        <v>32</v>
      </c>
      <c r="G14" s="22"/>
      <c r="H14" s="23">
        <v>77.0</v>
      </c>
      <c r="I14" s="34">
        <v>50.0</v>
      </c>
      <c r="J14" s="25">
        <v>63.0</v>
      </c>
      <c r="K14" s="26">
        <v>30.0</v>
      </c>
      <c r="L14" s="27">
        <v>50.0</v>
      </c>
      <c r="M14" s="28">
        <f t="shared" si="1"/>
        <v>54</v>
      </c>
      <c r="N14" s="29">
        <f t="shared" si="2"/>
        <v>1</v>
      </c>
      <c r="O14" s="30" t="str">
        <f t="shared" si="3"/>
        <v>1</v>
      </c>
      <c r="P14" s="31">
        <f t="shared" si="4"/>
        <v>0</v>
      </c>
      <c r="Q14" s="32">
        <v>96.0</v>
      </c>
      <c r="S14" s="33"/>
    </row>
    <row r="15">
      <c r="A15" s="18">
        <v>8.0</v>
      </c>
      <c r="B15" s="19">
        <v>1.11625201008E11</v>
      </c>
      <c r="C15" s="20" t="s">
        <v>35</v>
      </c>
      <c r="D15" s="21" t="s">
        <v>23</v>
      </c>
      <c r="E15" s="21" t="s">
        <v>24</v>
      </c>
      <c r="F15" s="21" t="s">
        <v>23</v>
      </c>
      <c r="G15" s="22"/>
      <c r="H15" s="23">
        <v>50.0</v>
      </c>
      <c r="I15" s="34">
        <v>36.666666666666664</v>
      </c>
      <c r="J15" s="25">
        <v>63.0</v>
      </c>
      <c r="K15" s="26">
        <v>17.0</v>
      </c>
      <c r="L15" s="27">
        <v>57.0</v>
      </c>
      <c r="M15" s="28">
        <f t="shared" si="1"/>
        <v>44.73333333</v>
      </c>
      <c r="N15" s="29">
        <f t="shared" si="2"/>
        <v>2</v>
      </c>
      <c r="O15" s="30" t="str">
        <f t="shared" si="3"/>
        <v>1</v>
      </c>
      <c r="P15" s="31">
        <f t="shared" si="4"/>
        <v>0</v>
      </c>
      <c r="Q15" s="32">
        <v>96.0</v>
      </c>
      <c r="S15" s="33"/>
    </row>
    <row r="16">
      <c r="A16" s="18">
        <v>9.0</v>
      </c>
      <c r="B16" s="19">
        <v>1.11625201009E11</v>
      </c>
      <c r="C16" s="20" t="s">
        <v>36</v>
      </c>
      <c r="D16" s="21" t="s">
        <v>23</v>
      </c>
      <c r="E16" s="21" t="s">
        <v>30</v>
      </c>
      <c r="F16" s="21" t="s">
        <v>32</v>
      </c>
      <c r="G16" s="22"/>
      <c r="H16" s="23">
        <v>77.0</v>
      </c>
      <c r="I16" s="34">
        <v>86.66666666666667</v>
      </c>
      <c r="J16" s="25">
        <v>67.0</v>
      </c>
      <c r="K16" s="26">
        <v>77.0</v>
      </c>
      <c r="L16" s="27">
        <v>93.0</v>
      </c>
      <c r="M16" s="28">
        <f t="shared" si="1"/>
        <v>80.13333333</v>
      </c>
      <c r="N16" s="29">
        <f t="shared" si="2"/>
        <v>0</v>
      </c>
      <c r="O16" s="30" t="str">
        <f t="shared" si="3"/>
        <v>0</v>
      </c>
      <c r="P16" s="31">
        <f t="shared" si="4"/>
        <v>0</v>
      </c>
      <c r="Q16" s="32">
        <v>98.0</v>
      </c>
      <c r="S16" s="33"/>
    </row>
    <row r="17">
      <c r="A17" s="18">
        <v>10.0</v>
      </c>
      <c r="B17" s="19">
        <v>1.1162520101E11</v>
      </c>
      <c r="C17" s="20" t="s">
        <v>37</v>
      </c>
      <c r="D17" s="21" t="s">
        <v>27</v>
      </c>
      <c r="E17" s="21" t="s">
        <v>30</v>
      </c>
      <c r="F17" s="21" t="s">
        <v>23</v>
      </c>
      <c r="G17" s="22"/>
      <c r="H17" s="23">
        <v>60.0</v>
      </c>
      <c r="I17" s="34">
        <v>66.66666666666666</v>
      </c>
      <c r="J17" s="25">
        <v>67.0</v>
      </c>
      <c r="K17" s="35">
        <v>51.0</v>
      </c>
      <c r="L17" s="27">
        <v>87.0</v>
      </c>
      <c r="M17" s="28">
        <f t="shared" si="1"/>
        <v>66.33333333</v>
      </c>
      <c r="N17" s="29">
        <f t="shared" si="2"/>
        <v>0</v>
      </c>
      <c r="O17" s="30" t="str">
        <f t="shared" si="3"/>
        <v>0</v>
      </c>
      <c r="P17" s="31">
        <f t="shared" si="4"/>
        <v>0</v>
      </c>
      <c r="Q17" s="32">
        <v>96.0</v>
      </c>
      <c r="S17" s="33"/>
    </row>
    <row r="18">
      <c r="A18" s="18">
        <v>11.0</v>
      </c>
      <c r="B18" s="19">
        <v>1.11625201011E11</v>
      </c>
      <c r="C18" s="20" t="s">
        <v>38</v>
      </c>
      <c r="D18" s="21" t="s">
        <v>23</v>
      </c>
      <c r="E18" s="21" t="s">
        <v>30</v>
      </c>
      <c r="F18" s="21" t="s">
        <v>32</v>
      </c>
      <c r="G18" s="22"/>
      <c r="H18" s="23">
        <v>80.0</v>
      </c>
      <c r="I18" s="34">
        <v>70.0</v>
      </c>
      <c r="J18" s="25">
        <v>20.0</v>
      </c>
      <c r="K18" s="26">
        <v>60.0</v>
      </c>
      <c r="L18" s="27">
        <v>43.0</v>
      </c>
      <c r="M18" s="28">
        <f t="shared" si="1"/>
        <v>54.6</v>
      </c>
      <c r="N18" s="29">
        <f t="shared" si="2"/>
        <v>2</v>
      </c>
      <c r="O18" s="30" t="str">
        <f t="shared" si="3"/>
        <v>1</v>
      </c>
      <c r="P18" s="31">
        <f t="shared" si="4"/>
        <v>0</v>
      </c>
      <c r="Q18" s="32">
        <v>96.0</v>
      </c>
      <c r="S18" s="33"/>
    </row>
    <row r="19">
      <c r="A19" s="18">
        <v>12.0</v>
      </c>
      <c r="B19" s="19">
        <v>1.11625201012E11</v>
      </c>
      <c r="C19" s="20" t="s">
        <v>39</v>
      </c>
      <c r="D19" s="21" t="s">
        <v>23</v>
      </c>
      <c r="E19" s="21" t="s">
        <v>24</v>
      </c>
      <c r="F19" s="21" t="s">
        <v>23</v>
      </c>
      <c r="G19" s="22"/>
      <c r="H19" s="23">
        <v>60.0</v>
      </c>
      <c r="I19" s="24">
        <v>50.0</v>
      </c>
      <c r="J19" s="25">
        <v>50.0</v>
      </c>
      <c r="K19" s="26">
        <v>30.0</v>
      </c>
      <c r="L19" s="27">
        <v>50.0</v>
      </c>
      <c r="M19" s="28">
        <f t="shared" si="1"/>
        <v>48</v>
      </c>
      <c r="N19" s="29">
        <f t="shared" si="2"/>
        <v>1</v>
      </c>
      <c r="O19" s="30" t="str">
        <f t="shared" si="3"/>
        <v>1</v>
      </c>
      <c r="P19" s="31">
        <f t="shared" si="4"/>
        <v>0</v>
      </c>
      <c r="Q19" s="32">
        <v>96.0</v>
      </c>
      <c r="S19" s="33"/>
    </row>
    <row r="20">
      <c r="A20" s="18">
        <v>13.0</v>
      </c>
      <c r="B20" s="19">
        <v>1.11625201013E11</v>
      </c>
      <c r="C20" s="20" t="s">
        <v>40</v>
      </c>
      <c r="D20" s="21" t="s">
        <v>23</v>
      </c>
      <c r="E20" s="21" t="s">
        <v>24</v>
      </c>
      <c r="F20" s="21" t="s">
        <v>23</v>
      </c>
      <c r="G20" s="22"/>
      <c r="H20" s="23">
        <v>7.0</v>
      </c>
      <c r="I20" s="24">
        <v>50.0</v>
      </c>
      <c r="J20" s="25">
        <v>50.0</v>
      </c>
      <c r="K20" s="26">
        <v>50.0</v>
      </c>
      <c r="L20" s="27">
        <v>40.0</v>
      </c>
      <c r="M20" s="28">
        <f t="shared" si="1"/>
        <v>39.4</v>
      </c>
      <c r="N20" s="29">
        <f t="shared" si="2"/>
        <v>2</v>
      </c>
      <c r="O20" s="30" t="str">
        <f t="shared" si="3"/>
        <v>1</v>
      </c>
      <c r="P20" s="31">
        <f t="shared" si="4"/>
        <v>0</v>
      </c>
      <c r="Q20" s="32">
        <v>98.0</v>
      </c>
      <c r="S20" s="33"/>
    </row>
    <row r="21">
      <c r="A21" s="18">
        <v>14.0</v>
      </c>
      <c r="B21" s="19">
        <v>1.11625201014E11</v>
      </c>
      <c r="C21" s="20" t="s">
        <v>41</v>
      </c>
      <c r="D21" s="21" t="s">
        <v>27</v>
      </c>
      <c r="E21" s="21" t="s">
        <v>30</v>
      </c>
      <c r="F21" s="21" t="s">
        <v>32</v>
      </c>
      <c r="G21" s="22"/>
      <c r="H21" s="23">
        <v>70.0</v>
      </c>
      <c r="I21" s="34">
        <v>96.66666666666667</v>
      </c>
      <c r="J21" s="25">
        <v>73.0</v>
      </c>
      <c r="K21" s="26">
        <v>77.0</v>
      </c>
      <c r="L21" s="27">
        <v>100.0</v>
      </c>
      <c r="M21" s="28">
        <f t="shared" si="1"/>
        <v>83.33333333</v>
      </c>
      <c r="N21" s="29">
        <f t="shared" si="2"/>
        <v>0</v>
      </c>
      <c r="O21" s="30" t="str">
        <f t="shared" si="3"/>
        <v>0</v>
      </c>
      <c r="P21" s="31">
        <f t="shared" si="4"/>
        <v>0</v>
      </c>
      <c r="Q21" s="32">
        <v>89.0</v>
      </c>
      <c r="S21" s="33"/>
    </row>
    <row r="22">
      <c r="A22" s="18">
        <v>15.0</v>
      </c>
      <c r="B22" s="19">
        <v>1.11625201015E11</v>
      </c>
      <c r="C22" s="20" t="s">
        <v>42</v>
      </c>
      <c r="D22" s="21" t="s">
        <v>23</v>
      </c>
      <c r="E22" s="21" t="s">
        <v>24</v>
      </c>
      <c r="F22" s="21" t="s">
        <v>23</v>
      </c>
      <c r="G22" s="22"/>
      <c r="H22" s="23">
        <v>60.0</v>
      </c>
      <c r="I22" s="24">
        <v>50.0</v>
      </c>
      <c r="J22" s="25">
        <v>57.0</v>
      </c>
      <c r="K22" s="26">
        <v>50.0</v>
      </c>
      <c r="L22" s="27">
        <v>67.0</v>
      </c>
      <c r="M22" s="28">
        <f t="shared" si="1"/>
        <v>56.8</v>
      </c>
      <c r="N22" s="29">
        <f t="shared" si="2"/>
        <v>0</v>
      </c>
      <c r="O22" s="30" t="str">
        <f t="shared" si="3"/>
        <v>0</v>
      </c>
      <c r="P22" s="31">
        <f t="shared" si="4"/>
        <v>0</v>
      </c>
      <c r="Q22" s="32">
        <v>98.0</v>
      </c>
      <c r="S22" s="33"/>
    </row>
    <row r="23">
      <c r="A23" s="18">
        <v>16.0</v>
      </c>
      <c r="B23" s="19">
        <v>1.11625201016E11</v>
      </c>
      <c r="C23" s="36" t="s">
        <v>43</v>
      </c>
      <c r="D23" s="37" t="s">
        <v>23</v>
      </c>
      <c r="E23" s="37" t="s">
        <v>24</v>
      </c>
      <c r="F23" s="37" t="s">
        <v>23</v>
      </c>
      <c r="G23" s="22"/>
      <c r="H23" s="23">
        <v>57.0</v>
      </c>
      <c r="I23" s="34">
        <v>16.666666666666664</v>
      </c>
      <c r="J23" s="25">
        <v>60.0</v>
      </c>
      <c r="K23" s="26">
        <v>37.0</v>
      </c>
      <c r="L23" s="27">
        <v>53.0</v>
      </c>
      <c r="M23" s="28">
        <f t="shared" si="1"/>
        <v>44.73333333</v>
      </c>
      <c r="N23" s="29">
        <f t="shared" si="2"/>
        <v>2</v>
      </c>
      <c r="O23" s="30" t="str">
        <f t="shared" si="3"/>
        <v>1</v>
      </c>
      <c r="P23" s="31">
        <f t="shared" si="4"/>
        <v>0</v>
      </c>
      <c r="Q23" s="32">
        <v>98.0</v>
      </c>
      <c r="S23" s="33"/>
    </row>
    <row r="24">
      <c r="A24" s="18">
        <v>17.0</v>
      </c>
      <c r="B24" s="19">
        <v>1.11625201017E11</v>
      </c>
      <c r="C24" s="20" t="s">
        <v>44</v>
      </c>
      <c r="D24" s="21" t="s">
        <v>27</v>
      </c>
      <c r="E24" s="21" t="s">
        <v>24</v>
      </c>
      <c r="F24" s="21" t="s">
        <v>23</v>
      </c>
      <c r="G24" s="22"/>
      <c r="H24" s="23">
        <v>20.0</v>
      </c>
      <c r="I24" s="34">
        <v>33.33333333333333</v>
      </c>
      <c r="J24" s="25">
        <v>17.0</v>
      </c>
      <c r="K24" s="26">
        <v>23.0</v>
      </c>
      <c r="L24" s="27">
        <v>60.0</v>
      </c>
      <c r="M24" s="28">
        <f t="shared" si="1"/>
        <v>30.66666667</v>
      </c>
      <c r="N24" s="29">
        <f t="shared" si="2"/>
        <v>4</v>
      </c>
      <c r="O24" s="30" t="str">
        <f t="shared" si="3"/>
        <v>1</v>
      </c>
      <c r="P24" s="31">
        <f t="shared" si="4"/>
        <v>0</v>
      </c>
      <c r="Q24" s="32">
        <v>100.0</v>
      </c>
      <c r="S24" s="33"/>
    </row>
    <row r="25">
      <c r="A25" s="18">
        <v>18.0</v>
      </c>
      <c r="B25" s="19">
        <v>1.11625201018E11</v>
      </c>
      <c r="C25" s="20" t="s">
        <v>45</v>
      </c>
      <c r="D25" s="21" t="s">
        <v>27</v>
      </c>
      <c r="E25" s="21" t="s">
        <v>24</v>
      </c>
      <c r="F25" s="21" t="s">
        <v>23</v>
      </c>
      <c r="G25" s="22"/>
      <c r="H25" s="23">
        <v>67.0</v>
      </c>
      <c r="I25" s="34">
        <v>73.33333333333333</v>
      </c>
      <c r="J25" s="25">
        <v>83.0</v>
      </c>
      <c r="K25" s="26">
        <v>33.0</v>
      </c>
      <c r="L25" s="27">
        <v>50.0</v>
      </c>
      <c r="M25" s="28">
        <f t="shared" si="1"/>
        <v>61.26666667</v>
      </c>
      <c r="N25" s="29">
        <f t="shared" si="2"/>
        <v>1</v>
      </c>
      <c r="O25" s="30"/>
      <c r="P25" s="31"/>
      <c r="Q25" s="32">
        <v>100.0</v>
      </c>
      <c r="S25" s="33"/>
    </row>
    <row r="26">
      <c r="A26" s="18">
        <v>19.0</v>
      </c>
      <c r="B26" s="19">
        <v>1.11625201019E11</v>
      </c>
      <c r="C26" s="20" t="s">
        <v>46</v>
      </c>
      <c r="D26" s="21" t="s">
        <v>23</v>
      </c>
      <c r="E26" s="21" t="s">
        <v>24</v>
      </c>
      <c r="F26" s="21" t="s">
        <v>23</v>
      </c>
      <c r="G26" s="22"/>
      <c r="H26" s="23">
        <v>70.0</v>
      </c>
      <c r="I26" s="24">
        <v>50.0</v>
      </c>
      <c r="J26" s="25">
        <v>60.0</v>
      </c>
      <c r="K26" s="26">
        <v>30.0</v>
      </c>
      <c r="L26" s="27">
        <v>87.0</v>
      </c>
      <c r="M26" s="28">
        <f t="shared" si="1"/>
        <v>59.4</v>
      </c>
      <c r="N26" s="29">
        <f t="shared" si="2"/>
        <v>1</v>
      </c>
      <c r="O26" s="30"/>
      <c r="P26" s="31"/>
      <c r="Q26" s="32">
        <v>100.0</v>
      </c>
      <c r="S26" s="33"/>
    </row>
    <row r="27">
      <c r="A27" s="18">
        <v>20.0</v>
      </c>
      <c r="B27" s="19">
        <v>1.1162520102E11</v>
      </c>
      <c r="C27" s="20" t="s">
        <v>47</v>
      </c>
      <c r="D27" s="21" t="s">
        <v>23</v>
      </c>
      <c r="E27" s="21" t="s">
        <v>24</v>
      </c>
      <c r="F27" s="21" t="s">
        <v>23</v>
      </c>
      <c r="G27" s="22"/>
      <c r="H27" s="23">
        <v>73.0</v>
      </c>
      <c r="I27" s="34">
        <v>33.33333333333333</v>
      </c>
      <c r="J27" s="25">
        <v>57.0</v>
      </c>
      <c r="K27" s="26">
        <v>63.0</v>
      </c>
      <c r="L27" s="27">
        <v>87.0</v>
      </c>
      <c r="M27" s="28">
        <f t="shared" si="1"/>
        <v>62.66666667</v>
      </c>
      <c r="N27" s="29">
        <f t="shared" si="2"/>
        <v>1</v>
      </c>
      <c r="O27" s="30"/>
      <c r="P27" s="31"/>
      <c r="Q27" s="32">
        <v>100.0</v>
      </c>
      <c r="S27" s="33"/>
    </row>
    <row r="28">
      <c r="A28" s="18">
        <v>21.0</v>
      </c>
      <c r="B28" s="19">
        <v>1.11625201021E11</v>
      </c>
      <c r="C28" s="20" t="s">
        <v>48</v>
      </c>
      <c r="D28" s="21" t="s">
        <v>27</v>
      </c>
      <c r="E28" s="21" t="s">
        <v>30</v>
      </c>
      <c r="F28" s="21" t="s">
        <v>32</v>
      </c>
      <c r="G28" s="22"/>
      <c r="H28" s="23">
        <v>90.0</v>
      </c>
      <c r="I28" s="34">
        <v>83.33333333333334</v>
      </c>
      <c r="J28" s="25">
        <v>90.0</v>
      </c>
      <c r="K28" s="26">
        <v>80.0</v>
      </c>
      <c r="L28" s="27">
        <v>100.0</v>
      </c>
      <c r="M28" s="28">
        <f t="shared" si="1"/>
        <v>88.66666667</v>
      </c>
      <c r="N28" s="29">
        <f t="shared" si="2"/>
        <v>0</v>
      </c>
      <c r="O28" s="30"/>
      <c r="P28" s="31"/>
      <c r="Q28" s="32">
        <v>96.0</v>
      </c>
      <c r="S28" s="33"/>
    </row>
    <row r="29">
      <c r="A29" s="18">
        <v>22.0</v>
      </c>
      <c r="B29" s="19">
        <v>1.11625201022E11</v>
      </c>
      <c r="C29" s="20" t="s">
        <v>49</v>
      </c>
      <c r="D29" s="21" t="s">
        <v>27</v>
      </c>
      <c r="E29" s="21" t="s">
        <v>30</v>
      </c>
      <c r="F29" s="21" t="s">
        <v>32</v>
      </c>
      <c r="G29" s="22"/>
      <c r="H29" s="23">
        <v>87.0</v>
      </c>
      <c r="I29" s="34">
        <v>66.66666666666666</v>
      </c>
      <c r="J29" s="25">
        <v>70.0</v>
      </c>
      <c r="K29" s="26">
        <v>50.0</v>
      </c>
      <c r="L29" s="27">
        <v>97.0</v>
      </c>
      <c r="M29" s="28">
        <f t="shared" si="1"/>
        <v>74.13333333</v>
      </c>
      <c r="N29" s="29">
        <f t="shared" si="2"/>
        <v>0</v>
      </c>
      <c r="O29" s="30"/>
      <c r="P29" s="31"/>
      <c r="Q29" s="32">
        <v>94.0</v>
      </c>
      <c r="S29" s="33"/>
    </row>
    <row r="30">
      <c r="A30" s="18">
        <v>23.0</v>
      </c>
      <c r="B30" s="19">
        <v>1.11625201023E11</v>
      </c>
      <c r="C30" s="20" t="s">
        <v>50</v>
      </c>
      <c r="D30" s="21" t="s">
        <v>27</v>
      </c>
      <c r="E30" s="21" t="s">
        <v>30</v>
      </c>
      <c r="F30" s="21" t="s">
        <v>23</v>
      </c>
      <c r="G30" s="22"/>
      <c r="H30" s="23">
        <v>80.0</v>
      </c>
      <c r="I30" s="34">
        <v>86.66666666666667</v>
      </c>
      <c r="J30" s="25">
        <v>70.0</v>
      </c>
      <c r="K30" s="26">
        <v>70.0</v>
      </c>
      <c r="L30" s="27">
        <v>67.0</v>
      </c>
      <c r="M30" s="28">
        <f t="shared" si="1"/>
        <v>74.73333333</v>
      </c>
      <c r="N30" s="29">
        <f t="shared" si="2"/>
        <v>0</v>
      </c>
      <c r="O30" s="30"/>
      <c r="P30" s="31"/>
      <c r="Q30" s="32">
        <v>98.0</v>
      </c>
      <c r="S30" s="33"/>
    </row>
    <row r="31">
      <c r="A31" s="18">
        <v>24.0</v>
      </c>
      <c r="B31" s="19">
        <v>1.11625201024E11</v>
      </c>
      <c r="C31" s="20" t="s">
        <v>51</v>
      </c>
      <c r="D31" s="21" t="s">
        <v>23</v>
      </c>
      <c r="E31" s="21" t="s">
        <v>24</v>
      </c>
      <c r="F31" s="21" t="s">
        <v>23</v>
      </c>
      <c r="G31" s="22"/>
      <c r="H31" s="23">
        <v>60.0</v>
      </c>
      <c r="I31" s="34">
        <v>33.33333333333333</v>
      </c>
      <c r="J31" s="25">
        <v>40.0</v>
      </c>
      <c r="K31" s="26">
        <v>50.0</v>
      </c>
      <c r="L31" s="27">
        <v>63.0</v>
      </c>
      <c r="M31" s="28">
        <f t="shared" si="1"/>
        <v>49.26666667</v>
      </c>
      <c r="N31" s="29">
        <f t="shared" si="2"/>
        <v>2</v>
      </c>
      <c r="O31" s="30"/>
      <c r="P31" s="31"/>
      <c r="Q31" s="32">
        <v>98.0</v>
      </c>
      <c r="S31" s="33"/>
    </row>
    <row r="32">
      <c r="A32" s="18">
        <v>25.0</v>
      </c>
      <c r="B32" s="19">
        <v>1.11625201025E11</v>
      </c>
      <c r="C32" s="20" t="s">
        <v>52</v>
      </c>
      <c r="D32" s="21" t="s">
        <v>27</v>
      </c>
      <c r="E32" s="21" t="s">
        <v>24</v>
      </c>
      <c r="F32" s="21" t="s">
        <v>23</v>
      </c>
      <c r="G32" s="22"/>
      <c r="H32" s="23">
        <v>53.0</v>
      </c>
      <c r="I32" s="34">
        <v>53.333333333333336</v>
      </c>
      <c r="J32" s="25">
        <v>33.0</v>
      </c>
      <c r="K32" s="26">
        <v>7.0</v>
      </c>
      <c r="L32" s="27">
        <v>57.0</v>
      </c>
      <c r="M32" s="28">
        <f t="shared" si="1"/>
        <v>40.66666667</v>
      </c>
      <c r="N32" s="29">
        <f t="shared" si="2"/>
        <v>2</v>
      </c>
      <c r="O32" s="30"/>
      <c r="P32" s="31"/>
      <c r="Q32" s="32">
        <v>100.0</v>
      </c>
      <c r="S32" s="33"/>
    </row>
    <row r="33">
      <c r="A33" s="18">
        <v>26.0</v>
      </c>
      <c r="B33" s="19">
        <v>1.11625201026E11</v>
      </c>
      <c r="C33" s="20" t="s">
        <v>53</v>
      </c>
      <c r="D33" s="21" t="s">
        <v>23</v>
      </c>
      <c r="E33" s="21" t="s">
        <v>24</v>
      </c>
      <c r="F33" s="21" t="s">
        <v>32</v>
      </c>
      <c r="G33" s="22"/>
      <c r="H33" s="23">
        <v>87.0</v>
      </c>
      <c r="I33" s="34">
        <v>86.66666666666667</v>
      </c>
      <c r="J33" s="25">
        <v>63.0</v>
      </c>
      <c r="K33" s="26">
        <v>50.0</v>
      </c>
      <c r="L33" s="27">
        <v>87.0</v>
      </c>
      <c r="M33" s="28">
        <f t="shared" si="1"/>
        <v>74.73333333</v>
      </c>
      <c r="N33" s="29">
        <f t="shared" si="2"/>
        <v>0</v>
      </c>
      <c r="O33" s="30"/>
      <c r="P33" s="31"/>
      <c r="Q33" s="32">
        <v>100.0</v>
      </c>
      <c r="S33" s="33"/>
    </row>
    <row r="34">
      <c r="A34" s="18">
        <v>27.0</v>
      </c>
      <c r="B34" s="19">
        <v>1.11625201027E11</v>
      </c>
      <c r="C34" s="20" t="s">
        <v>54</v>
      </c>
      <c r="D34" s="21" t="s">
        <v>23</v>
      </c>
      <c r="E34" s="21" t="s">
        <v>24</v>
      </c>
      <c r="F34" s="21" t="s">
        <v>23</v>
      </c>
      <c r="G34" s="22"/>
      <c r="H34" s="23">
        <v>57.0</v>
      </c>
      <c r="I34" s="34">
        <v>20.0</v>
      </c>
      <c r="J34" s="25">
        <v>70.0</v>
      </c>
      <c r="K34" s="26">
        <v>30.0</v>
      </c>
      <c r="L34" s="27">
        <v>80.0</v>
      </c>
      <c r="M34" s="28">
        <f t="shared" si="1"/>
        <v>51.4</v>
      </c>
      <c r="N34" s="29">
        <f t="shared" si="2"/>
        <v>2</v>
      </c>
      <c r="O34" s="30"/>
      <c r="P34" s="31"/>
      <c r="Q34" s="32">
        <v>87.0</v>
      </c>
      <c r="S34" s="33"/>
    </row>
    <row r="35">
      <c r="A35" s="18">
        <v>28.0</v>
      </c>
      <c r="B35" s="19">
        <v>1.11625201028E11</v>
      </c>
      <c r="C35" s="20" t="s">
        <v>55</v>
      </c>
      <c r="D35" s="21" t="s">
        <v>23</v>
      </c>
      <c r="E35" s="21" t="s">
        <v>24</v>
      </c>
      <c r="F35" s="21" t="s">
        <v>23</v>
      </c>
      <c r="G35" s="22"/>
      <c r="H35" s="23">
        <v>80.0</v>
      </c>
      <c r="I35" s="34">
        <v>53.333333333333336</v>
      </c>
      <c r="J35" s="25">
        <v>57.0</v>
      </c>
      <c r="K35" s="26">
        <v>53.0</v>
      </c>
      <c r="L35" s="27">
        <v>93.0</v>
      </c>
      <c r="M35" s="28">
        <f t="shared" si="1"/>
        <v>67.26666667</v>
      </c>
      <c r="N35" s="29">
        <f t="shared" si="2"/>
        <v>0</v>
      </c>
      <c r="O35" s="30"/>
      <c r="P35" s="31"/>
      <c r="Q35" s="32">
        <v>98.0</v>
      </c>
      <c r="S35" s="33"/>
    </row>
    <row r="36">
      <c r="A36" s="18">
        <v>29.0</v>
      </c>
      <c r="B36" s="19">
        <v>1.11625201029E11</v>
      </c>
      <c r="C36" s="20" t="s">
        <v>56</v>
      </c>
      <c r="D36" s="21" t="s">
        <v>23</v>
      </c>
      <c r="E36" s="21" t="s">
        <v>24</v>
      </c>
      <c r="F36" s="21" t="s">
        <v>32</v>
      </c>
      <c r="G36" s="22"/>
      <c r="H36" s="23">
        <v>73.0</v>
      </c>
      <c r="I36" s="34">
        <v>73.33333333333333</v>
      </c>
      <c r="J36" s="25">
        <v>70.0</v>
      </c>
      <c r="K36" s="26">
        <v>63.0</v>
      </c>
      <c r="L36" s="27">
        <v>80.0</v>
      </c>
      <c r="M36" s="28">
        <f t="shared" si="1"/>
        <v>71.86666667</v>
      </c>
      <c r="N36" s="29">
        <f t="shared" si="2"/>
        <v>0</v>
      </c>
      <c r="O36" s="30"/>
      <c r="P36" s="31"/>
      <c r="Q36" s="32">
        <v>100.0</v>
      </c>
      <c r="S36" s="33"/>
    </row>
    <row r="37">
      <c r="A37" s="18">
        <v>30.0</v>
      </c>
      <c r="B37" s="19">
        <v>1.1162520103E11</v>
      </c>
      <c r="C37" s="20" t="s">
        <v>57</v>
      </c>
      <c r="D37" s="21" t="s">
        <v>27</v>
      </c>
      <c r="E37" s="21" t="s">
        <v>24</v>
      </c>
      <c r="F37" s="21" t="s">
        <v>23</v>
      </c>
      <c r="G37" s="22"/>
      <c r="H37" s="23">
        <v>67.0</v>
      </c>
      <c r="I37" s="34">
        <v>53.333333333333336</v>
      </c>
      <c r="J37" s="25">
        <v>50.0</v>
      </c>
      <c r="K37" s="26">
        <v>53.0</v>
      </c>
      <c r="L37" s="27">
        <v>93.0</v>
      </c>
      <c r="M37" s="28">
        <f t="shared" si="1"/>
        <v>63.26666667</v>
      </c>
      <c r="N37" s="29">
        <f t="shared" si="2"/>
        <v>0</v>
      </c>
      <c r="O37" s="30"/>
      <c r="P37" s="31"/>
      <c r="Q37" s="32">
        <v>100.0</v>
      </c>
      <c r="S37" s="33"/>
    </row>
    <row r="38">
      <c r="A38" s="18">
        <v>31.0</v>
      </c>
      <c r="B38" s="19">
        <v>1.11625201031E11</v>
      </c>
      <c r="C38" s="20" t="s">
        <v>58</v>
      </c>
      <c r="D38" s="21" t="s">
        <v>23</v>
      </c>
      <c r="E38" s="21" t="s">
        <v>24</v>
      </c>
      <c r="F38" s="21" t="s">
        <v>23</v>
      </c>
      <c r="G38" s="22"/>
      <c r="H38" s="23">
        <v>50.0</v>
      </c>
      <c r="I38" s="34">
        <v>53.333333333333336</v>
      </c>
      <c r="J38" s="25">
        <v>33.0</v>
      </c>
      <c r="K38" s="26">
        <v>27.0</v>
      </c>
      <c r="L38" s="27">
        <v>83.0</v>
      </c>
      <c r="M38" s="28">
        <f t="shared" si="1"/>
        <v>49.26666667</v>
      </c>
      <c r="N38" s="29">
        <f t="shared" si="2"/>
        <v>2</v>
      </c>
      <c r="O38" s="30"/>
      <c r="P38" s="31"/>
      <c r="Q38" s="32">
        <v>100.0</v>
      </c>
      <c r="S38" s="33"/>
    </row>
    <row r="39">
      <c r="A39" s="18">
        <v>32.0</v>
      </c>
      <c r="B39" s="19">
        <v>1.11625201032E11</v>
      </c>
      <c r="C39" s="20" t="s">
        <v>59</v>
      </c>
      <c r="D39" s="21" t="s">
        <v>27</v>
      </c>
      <c r="E39" s="21" t="s">
        <v>30</v>
      </c>
      <c r="F39" s="21" t="s">
        <v>32</v>
      </c>
      <c r="G39" s="22"/>
      <c r="H39" s="23">
        <v>53.0</v>
      </c>
      <c r="I39" s="34">
        <v>83.33333333333334</v>
      </c>
      <c r="J39" s="25">
        <v>93.0</v>
      </c>
      <c r="K39" s="26">
        <v>77.0</v>
      </c>
      <c r="L39" s="27">
        <v>87.0</v>
      </c>
      <c r="M39" s="28">
        <f t="shared" si="1"/>
        <v>78.66666667</v>
      </c>
      <c r="N39" s="29">
        <f t="shared" si="2"/>
        <v>0</v>
      </c>
      <c r="O39" s="30"/>
      <c r="P39" s="31"/>
      <c r="Q39" s="32">
        <v>98.0</v>
      </c>
      <c r="S39" s="33"/>
    </row>
    <row r="40">
      <c r="A40" s="18">
        <v>33.0</v>
      </c>
      <c r="B40" s="19">
        <v>1.11625201033E11</v>
      </c>
      <c r="C40" s="20" t="s">
        <v>60</v>
      </c>
      <c r="D40" s="21" t="s">
        <v>23</v>
      </c>
      <c r="E40" s="21" t="s">
        <v>24</v>
      </c>
      <c r="F40" s="21" t="s">
        <v>23</v>
      </c>
      <c r="G40" s="22"/>
      <c r="H40" s="23">
        <v>67.0</v>
      </c>
      <c r="I40" s="34">
        <v>63.33333333333333</v>
      </c>
      <c r="J40" s="25">
        <v>80.0</v>
      </c>
      <c r="K40" s="26">
        <v>56.0</v>
      </c>
      <c r="L40" s="27">
        <v>87.0</v>
      </c>
      <c r="M40" s="28">
        <f t="shared" si="1"/>
        <v>70.66666667</v>
      </c>
      <c r="N40" s="29">
        <f t="shared" si="2"/>
        <v>0</v>
      </c>
      <c r="O40" s="30"/>
      <c r="P40" s="31"/>
      <c r="Q40" s="32">
        <v>100.0</v>
      </c>
      <c r="S40" s="33"/>
    </row>
    <row r="41">
      <c r="A41" s="18">
        <v>34.0</v>
      </c>
      <c r="B41" s="19">
        <v>1.11625201034E11</v>
      </c>
      <c r="C41" s="20" t="s">
        <v>61</v>
      </c>
      <c r="D41" s="21" t="s">
        <v>23</v>
      </c>
      <c r="E41" s="21" t="s">
        <v>30</v>
      </c>
      <c r="F41" s="21" t="s">
        <v>23</v>
      </c>
      <c r="G41" s="22"/>
      <c r="H41" s="23">
        <v>50.0</v>
      </c>
      <c r="I41" s="34">
        <v>50.0</v>
      </c>
      <c r="J41" s="25">
        <v>63.0</v>
      </c>
      <c r="K41" s="26">
        <v>27.0</v>
      </c>
      <c r="L41" s="27">
        <v>20.0</v>
      </c>
      <c r="M41" s="28">
        <f t="shared" si="1"/>
        <v>42</v>
      </c>
      <c r="N41" s="29">
        <f t="shared" si="2"/>
        <v>2</v>
      </c>
      <c r="O41" s="30"/>
      <c r="P41" s="31"/>
      <c r="Q41" s="32">
        <v>100.0</v>
      </c>
      <c r="S41" s="33"/>
    </row>
    <row r="42">
      <c r="A42" s="18">
        <v>35.0</v>
      </c>
      <c r="B42" s="19">
        <v>1.11625201035E11</v>
      </c>
      <c r="C42" s="20" t="s">
        <v>61</v>
      </c>
      <c r="D42" s="21" t="s">
        <v>23</v>
      </c>
      <c r="E42" s="21" t="s">
        <v>30</v>
      </c>
      <c r="F42" s="21" t="s">
        <v>23</v>
      </c>
      <c r="G42" s="22"/>
      <c r="H42" s="23">
        <v>77.0</v>
      </c>
      <c r="I42" s="34">
        <v>70.0</v>
      </c>
      <c r="J42" s="25">
        <v>67.0</v>
      </c>
      <c r="K42" s="26">
        <v>73.0</v>
      </c>
      <c r="L42" s="27">
        <v>87.0</v>
      </c>
      <c r="M42" s="28">
        <f t="shared" si="1"/>
        <v>74.8</v>
      </c>
      <c r="N42" s="29">
        <f t="shared" si="2"/>
        <v>0</v>
      </c>
      <c r="O42" s="30"/>
      <c r="P42" s="31"/>
      <c r="Q42" s="32">
        <v>91.0</v>
      </c>
      <c r="S42" s="33"/>
    </row>
    <row r="43">
      <c r="A43" s="18">
        <v>36.0</v>
      </c>
      <c r="B43" s="19">
        <v>1.11625201036E11</v>
      </c>
      <c r="C43" s="20" t="s">
        <v>62</v>
      </c>
      <c r="D43" s="21" t="s">
        <v>23</v>
      </c>
      <c r="E43" s="21" t="s">
        <v>30</v>
      </c>
      <c r="F43" s="21" t="s">
        <v>32</v>
      </c>
      <c r="G43" s="22"/>
      <c r="H43" s="23">
        <v>50.0</v>
      </c>
      <c r="I43" s="34">
        <v>73.33333333333333</v>
      </c>
      <c r="J43" s="25">
        <v>63.0</v>
      </c>
      <c r="K43" s="26">
        <v>34.0</v>
      </c>
      <c r="L43" s="27">
        <v>63.0</v>
      </c>
      <c r="M43" s="28">
        <f t="shared" si="1"/>
        <v>56.66666667</v>
      </c>
      <c r="N43" s="29">
        <f t="shared" si="2"/>
        <v>1</v>
      </c>
      <c r="O43" s="30"/>
      <c r="P43" s="31"/>
      <c r="Q43" s="32">
        <v>100.0</v>
      </c>
      <c r="S43" s="33"/>
    </row>
    <row r="44">
      <c r="A44" s="18">
        <v>37.0</v>
      </c>
      <c r="B44" s="19">
        <v>1.11625201037E11</v>
      </c>
      <c r="C44" s="20" t="s">
        <v>63</v>
      </c>
      <c r="D44" s="21" t="s">
        <v>27</v>
      </c>
      <c r="E44" s="21" t="s">
        <v>24</v>
      </c>
      <c r="F44" s="21" t="s">
        <v>32</v>
      </c>
      <c r="G44" s="22"/>
      <c r="H44" s="23">
        <v>87.0</v>
      </c>
      <c r="I44" s="34">
        <v>83.33333333333334</v>
      </c>
      <c r="J44" s="25">
        <v>70.0</v>
      </c>
      <c r="K44" s="26">
        <v>80.0</v>
      </c>
      <c r="L44" s="27">
        <v>50.0</v>
      </c>
      <c r="M44" s="28">
        <f t="shared" si="1"/>
        <v>74.06666667</v>
      </c>
      <c r="N44" s="29">
        <f t="shared" si="2"/>
        <v>0</v>
      </c>
      <c r="O44" s="30"/>
      <c r="P44" s="31"/>
      <c r="Q44" s="32">
        <v>98.0</v>
      </c>
      <c r="S44" s="33"/>
    </row>
    <row r="45">
      <c r="A45" s="18">
        <v>38.0</v>
      </c>
      <c r="B45" s="19">
        <v>1.11625201038E11</v>
      </c>
      <c r="C45" s="20" t="s">
        <v>64</v>
      </c>
      <c r="D45" s="21" t="s">
        <v>23</v>
      </c>
      <c r="E45" s="21" t="s">
        <v>24</v>
      </c>
      <c r="F45" s="21" t="s">
        <v>23</v>
      </c>
      <c r="G45" s="22"/>
      <c r="H45" s="23">
        <v>50.0</v>
      </c>
      <c r="I45" s="34">
        <v>60.0</v>
      </c>
      <c r="J45" s="25">
        <v>57.0</v>
      </c>
      <c r="K45" s="26">
        <v>33.0</v>
      </c>
      <c r="L45" s="27">
        <v>70.0</v>
      </c>
      <c r="M45" s="28">
        <f t="shared" si="1"/>
        <v>54</v>
      </c>
      <c r="N45" s="29">
        <f t="shared" si="2"/>
        <v>1</v>
      </c>
      <c r="O45" s="30"/>
      <c r="P45" s="31"/>
      <c r="Q45" s="32">
        <v>100.0</v>
      </c>
      <c r="S45" s="33"/>
    </row>
    <row r="46">
      <c r="A46" s="18">
        <v>39.0</v>
      </c>
      <c r="B46" s="19">
        <v>1.11625201039E11</v>
      </c>
      <c r="C46" s="20" t="s">
        <v>65</v>
      </c>
      <c r="D46" s="21" t="s">
        <v>27</v>
      </c>
      <c r="E46" s="21" t="s">
        <v>30</v>
      </c>
      <c r="F46" s="21" t="s">
        <v>32</v>
      </c>
      <c r="G46" s="22"/>
      <c r="H46" s="23">
        <v>97.0</v>
      </c>
      <c r="I46" s="24" t="s">
        <v>25</v>
      </c>
      <c r="J46" s="25">
        <v>90.0</v>
      </c>
      <c r="K46" s="26">
        <v>57.0</v>
      </c>
      <c r="L46" s="27">
        <v>60.0</v>
      </c>
      <c r="M46" s="28">
        <f t="shared" si="1"/>
        <v>60.8</v>
      </c>
      <c r="N46" s="29">
        <f t="shared" si="2"/>
        <v>1</v>
      </c>
      <c r="O46" s="30"/>
      <c r="P46" s="31"/>
      <c r="Q46" s="32">
        <v>91.0</v>
      </c>
      <c r="S46" s="33"/>
    </row>
    <row r="47">
      <c r="A47" s="18">
        <v>40.0</v>
      </c>
      <c r="B47" s="19">
        <v>1.1162520104E11</v>
      </c>
      <c r="C47" s="20" t="s">
        <v>66</v>
      </c>
      <c r="D47" s="21" t="s">
        <v>27</v>
      </c>
      <c r="E47" s="21" t="s">
        <v>24</v>
      </c>
      <c r="F47" s="21" t="s">
        <v>32</v>
      </c>
      <c r="G47" s="22"/>
      <c r="H47" s="23">
        <v>90.0</v>
      </c>
      <c r="I47" s="34">
        <v>90.0</v>
      </c>
      <c r="J47" s="25">
        <v>53.0</v>
      </c>
      <c r="K47" s="26">
        <v>84.0</v>
      </c>
      <c r="L47" s="27">
        <v>97.0</v>
      </c>
      <c r="M47" s="28">
        <f t="shared" si="1"/>
        <v>82.8</v>
      </c>
      <c r="N47" s="29">
        <f t="shared" si="2"/>
        <v>0</v>
      </c>
      <c r="O47" s="30"/>
      <c r="P47" s="31"/>
      <c r="Q47" s="32">
        <v>100.0</v>
      </c>
      <c r="S47" s="33"/>
    </row>
    <row r="48">
      <c r="A48" s="18">
        <v>41.0</v>
      </c>
      <c r="B48" s="19">
        <v>1.11625201041E11</v>
      </c>
      <c r="C48" s="20" t="s">
        <v>67</v>
      </c>
      <c r="D48" s="21" t="s">
        <v>23</v>
      </c>
      <c r="E48" s="21" t="s">
        <v>24</v>
      </c>
      <c r="F48" s="21" t="s">
        <v>23</v>
      </c>
      <c r="G48" s="22"/>
      <c r="H48" s="23">
        <v>33.0</v>
      </c>
      <c r="I48" s="34">
        <v>53.333333333333336</v>
      </c>
      <c r="J48" s="25">
        <v>50.0</v>
      </c>
      <c r="K48" s="26">
        <v>27.0</v>
      </c>
      <c r="L48" s="27">
        <v>80.0</v>
      </c>
      <c r="M48" s="28">
        <f t="shared" si="1"/>
        <v>48.66666667</v>
      </c>
      <c r="N48" s="29">
        <f t="shared" si="2"/>
        <v>2</v>
      </c>
      <c r="O48" s="30"/>
      <c r="P48" s="31"/>
      <c r="Q48" s="32">
        <v>100.0</v>
      </c>
      <c r="S48" s="33"/>
    </row>
    <row r="49">
      <c r="A49" s="18">
        <v>42.0</v>
      </c>
      <c r="B49" s="19">
        <v>1.11625201042E11</v>
      </c>
      <c r="C49" s="20" t="s">
        <v>68</v>
      </c>
      <c r="D49" s="21" t="s">
        <v>23</v>
      </c>
      <c r="E49" s="21" t="s">
        <v>24</v>
      </c>
      <c r="F49" s="21" t="s">
        <v>23</v>
      </c>
      <c r="G49" s="22"/>
      <c r="H49" s="23">
        <v>60.0</v>
      </c>
      <c r="I49" s="34">
        <v>66.66666666666666</v>
      </c>
      <c r="J49" s="25">
        <v>53.0</v>
      </c>
      <c r="K49" s="26">
        <v>9.0</v>
      </c>
      <c r="L49" s="27">
        <v>83.0</v>
      </c>
      <c r="M49" s="28">
        <f t="shared" si="1"/>
        <v>54.33333333</v>
      </c>
      <c r="N49" s="29">
        <f t="shared" si="2"/>
        <v>1</v>
      </c>
      <c r="O49" s="30" t="str">
        <f t="shared" ref="O49:O69" si="5">IF((N49&lt;1),"0","1")</f>
        <v>1</v>
      </c>
      <c r="P49" s="31">
        <f t="shared" ref="P49:P69" si="6">COUNTIF((H49:L49),"=A")</f>
        <v>0</v>
      </c>
      <c r="Q49" s="32">
        <v>100.0</v>
      </c>
      <c r="S49" s="33"/>
    </row>
    <row r="50">
      <c r="A50" s="18">
        <v>43.0</v>
      </c>
      <c r="B50" s="19">
        <v>1.11625201043E11</v>
      </c>
      <c r="C50" s="20" t="s">
        <v>69</v>
      </c>
      <c r="D50" s="21" t="s">
        <v>23</v>
      </c>
      <c r="E50" s="21" t="s">
        <v>24</v>
      </c>
      <c r="F50" s="21" t="s">
        <v>32</v>
      </c>
      <c r="G50" s="22"/>
      <c r="H50" s="23">
        <v>73.0</v>
      </c>
      <c r="I50" s="34">
        <v>83.33333333333334</v>
      </c>
      <c r="J50" s="25">
        <v>53.0</v>
      </c>
      <c r="K50" s="26">
        <v>52.0</v>
      </c>
      <c r="L50" s="27">
        <v>80.0</v>
      </c>
      <c r="M50" s="28">
        <f t="shared" si="1"/>
        <v>68.26666667</v>
      </c>
      <c r="N50" s="29">
        <f t="shared" si="2"/>
        <v>0</v>
      </c>
      <c r="O50" s="30" t="str">
        <f t="shared" si="5"/>
        <v>0</v>
      </c>
      <c r="P50" s="31">
        <f t="shared" si="6"/>
        <v>0</v>
      </c>
      <c r="Q50" s="32">
        <v>98.0</v>
      </c>
      <c r="S50" s="33"/>
    </row>
    <row r="51">
      <c r="A51" s="18">
        <v>44.0</v>
      </c>
      <c r="B51" s="19">
        <v>1.11625201044E11</v>
      </c>
      <c r="C51" s="20" t="s">
        <v>70</v>
      </c>
      <c r="D51" s="21" t="s">
        <v>23</v>
      </c>
      <c r="E51" s="21" t="s">
        <v>30</v>
      </c>
      <c r="F51" s="21" t="s">
        <v>23</v>
      </c>
      <c r="G51" s="22"/>
      <c r="H51" s="38">
        <v>13.0</v>
      </c>
      <c r="I51" s="34">
        <v>33.33333333333333</v>
      </c>
      <c r="J51" s="25" t="s">
        <v>25</v>
      </c>
      <c r="K51" s="26">
        <v>50.0</v>
      </c>
      <c r="L51" s="27">
        <v>63.0</v>
      </c>
      <c r="M51" s="28">
        <f t="shared" si="1"/>
        <v>31.86666667</v>
      </c>
      <c r="N51" s="29">
        <f t="shared" si="2"/>
        <v>3</v>
      </c>
      <c r="O51" s="30" t="str">
        <f t="shared" si="5"/>
        <v>1</v>
      </c>
      <c r="P51" s="31">
        <f t="shared" si="6"/>
        <v>1</v>
      </c>
      <c r="Q51" s="32">
        <v>87.0</v>
      </c>
      <c r="S51" s="33"/>
    </row>
    <row r="52">
      <c r="A52" s="18">
        <v>45.0</v>
      </c>
      <c r="B52" s="19">
        <v>1.11625201045E11</v>
      </c>
      <c r="C52" s="20" t="s">
        <v>71</v>
      </c>
      <c r="D52" s="21" t="s">
        <v>27</v>
      </c>
      <c r="E52" s="21" t="s">
        <v>24</v>
      </c>
      <c r="F52" s="21" t="s">
        <v>32</v>
      </c>
      <c r="G52" s="22"/>
      <c r="H52" s="23">
        <v>53.0</v>
      </c>
      <c r="I52" s="34">
        <v>86.66666666666667</v>
      </c>
      <c r="J52" s="25">
        <v>87.0</v>
      </c>
      <c r="K52" s="26">
        <v>74.0</v>
      </c>
      <c r="L52" s="27">
        <v>93.0</v>
      </c>
      <c r="M52" s="28">
        <f t="shared" si="1"/>
        <v>78.73333333</v>
      </c>
      <c r="N52" s="29">
        <f t="shared" si="2"/>
        <v>0</v>
      </c>
      <c r="O52" s="30" t="str">
        <f t="shared" si="5"/>
        <v>0</v>
      </c>
      <c r="P52" s="31">
        <f t="shared" si="6"/>
        <v>0</v>
      </c>
      <c r="Q52" s="32">
        <v>100.0</v>
      </c>
      <c r="S52" s="33"/>
    </row>
    <row r="53">
      <c r="A53" s="18">
        <v>46.0</v>
      </c>
      <c r="B53" s="19">
        <v>1.11625201046E11</v>
      </c>
      <c r="C53" s="20" t="s">
        <v>72</v>
      </c>
      <c r="D53" s="21" t="s">
        <v>23</v>
      </c>
      <c r="E53" s="21" t="s">
        <v>24</v>
      </c>
      <c r="F53" s="21" t="s">
        <v>23</v>
      </c>
      <c r="G53" s="22"/>
      <c r="H53" s="23">
        <v>23.0</v>
      </c>
      <c r="I53" s="34">
        <v>16.666666666666664</v>
      </c>
      <c r="J53" s="25">
        <v>53.0</v>
      </c>
      <c r="K53" s="26">
        <v>33.0</v>
      </c>
      <c r="L53" s="27">
        <v>13.0</v>
      </c>
      <c r="M53" s="28">
        <f t="shared" si="1"/>
        <v>27.73333333</v>
      </c>
      <c r="N53" s="29">
        <f t="shared" si="2"/>
        <v>4</v>
      </c>
      <c r="O53" s="30" t="str">
        <f t="shared" si="5"/>
        <v>1</v>
      </c>
      <c r="P53" s="31">
        <f t="shared" si="6"/>
        <v>0</v>
      </c>
      <c r="Q53" s="32">
        <v>98.0</v>
      </c>
      <c r="S53" s="33"/>
    </row>
    <row r="54">
      <c r="A54" s="18">
        <v>47.0</v>
      </c>
      <c r="B54" s="19">
        <v>1.11625201047E11</v>
      </c>
      <c r="C54" s="20" t="s">
        <v>73</v>
      </c>
      <c r="D54" s="21" t="s">
        <v>23</v>
      </c>
      <c r="E54" s="21" t="s">
        <v>24</v>
      </c>
      <c r="F54" s="21" t="s">
        <v>23</v>
      </c>
      <c r="G54" s="22"/>
      <c r="H54" s="23">
        <v>13.0</v>
      </c>
      <c r="I54" s="34">
        <v>36.666666666666664</v>
      </c>
      <c r="J54" s="25">
        <v>73.0</v>
      </c>
      <c r="K54" s="26">
        <v>7.0</v>
      </c>
      <c r="L54" s="27">
        <v>37.0</v>
      </c>
      <c r="M54" s="28">
        <f t="shared" si="1"/>
        <v>33.33333333</v>
      </c>
      <c r="N54" s="29">
        <f t="shared" si="2"/>
        <v>4</v>
      </c>
      <c r="O54" s="30" t="str">
        <f t="shared" si="5"/>
        <v>1</v>
      </c>
      <c r="P54" s="31">
        <f t="shared" si="6"/>
        <v>0</v>
      </c>
      <c r="Q54" s="32">
        <v>100.0</v>
      </c>
      <c r="S54" s="33"/>
    </row>
    <row r="55">
      <c r="A55" s="18">
        <v>48.0</v>
      </c>
      <c r="B55" s="19">
        <v>1.11625201048E11</v>
      </c>
      <c r="C55" s="20" t="s">
        <v>74</v>
      </c>
      <c r="D55" s="21" t="s">
        <v>23</v>
      </c>
      <c r="E55" s="21" t="s">
        <v>24</v>
      </c>
      <c r="F55" s="21" t="s">
        <v>32</v>
      </c>
      <c r="G55" s="22"/>
      <c r="H55" s="23">
        <v>70.0</v>
      </c>
      <c r="I55" s="34">
        <v>90.0</v>
      </c>
      <c r="J55" s="25">
        <v>87.0</v>
      </c>
      <c r="K55" s="26">
        <v>90.0</v>
      </c>
      <c r="L55" s="27">
        <v>97.0</v>
      </c>
      <c r="M55" s="28">
        <f t="shared" si="1"/>
        <v>86.8</v>
      </c>
      <c r="N55" s="29">
        <f t="shared" si="2"/>
        <v>0</v>
      </c>
      <c r="O55" s="30" t="str">
        <f t="shared" si="5"/>
        <v>0</v>
      </c>
      <c r="P55" s="31">
        <f t="shared" si="6"/>
        <v>0</v>
      </c>
      <c r="Q55" s="32">
        <v>98.0</v>
      </c>
      <c r="S55" s="33"/>
    </row>
    <row r="56">
      <c r="A56" s="18">
        <v>49.0</v>
      </c>
      <c r="B56" s="19">
        <v>1.11625201049E11</v>
      </c>
      <c r="C56" s="20" t="s">
        <v>75</v>
      </c>
      <c r="D56" s="21" t="s">
        <v>23</v>
      </c>
      <c r="E56" s="21" t="s">
        <v>24</v>
      </c>
      <c r="F56" s="21" t="s">
        <v>23</v>
      </c>
      <c r="G56" s="22"/>
      <c r="H56" s="23">
        <v>67.0</v>
      </c>
      <c r="I56" s="34">
        <v>56.666666666666664</v>
      </c>
      <c r="J56" s="25">
        <v>37.0</v>
      </c>
      <c r="K56" s="26">
        <v>27.0</v>
      </c>
      <c r="L56" s="27">
        <v>7.0</v>
      </c>
      <c r="M56" s="28">
        <f t="shared" si="1"/>
        <v>38.93333333</v>
      </c>
      <c r="N56" s="29">
        <f t="shared" si="2"/>
        <v>3</v>
      </c>
      <c r="O56" s="30" t="str">
        <f t="shared" si="5"/>
        <v>1</v>
      </c>
      <c r="P56" s="31">
        <f t="shared" si="6"/>
        <v>0</v>
      </c>
      <c r="Q56" s="32">
        <v>98.0</v>
      </c>
      <c r="S56" s="33"/>
    </row>
    <row r="57">
      <c r="A57" s="18">
        <v>50.0</v>
      </c>
      <c r="B57" s="19">
        <v>1.1162520105E11</v>
      </c>
      <c r="C57" s="20" t="s">
        <v>76</v>
      </c>
      <c r="D57" s="21" t="s">
        <v>27</v>
      </c>
      <c r="E57" s="21" t="s">
        <v>30</v>
      </c>
      <c r="F57" s="21" t="s">
        <v>23</v>
      </c>
      <c r="G57" s="22"/>
      <c r="H57" s="23">
        <v>60.0</v>
      </c>
      <c r="I57" s="34">
        <v>80.0</v>
      </c>
      <c r="J57" s="25">
        <v>80.0</v>
      </c>
      <c r="K57" s="26">
        <v>27.0</v>
      </c>
      <c r="L57" s="27">
        <v>73.0</v>
      </c>
      <c r="M57" s="28">
        <f t="shared" si="1"/>
        <v>64</v>
      </c>
      <c r="N57" s="29">
        <f t="shared" si="2"/>
        <v>1</v>
      </c>
      <c r="O57" s="30" t="str">
        <f t="shared" si="5"/>
        <v>1</v>
      </c>
      <c r="P57" s="31">
        <f t="shared" si="6"/>
        <v>0</v>
      </c>
      <c r="Q57" s="32">
        <v>100.0</v>
      </c>
      <c r="S57" s="33"/>
    </row>
    <row r="58">
      <c r="A58" s="18">
        <v>51.0</v>
      </c>
      <c r="B58" s="19">
        <v>1.11625201051E11</v>
      </c>
      <c r="C58" s="20" t="s">
        <v>77</v>
      </c>
      <c r="D58" s="21" t="s">
        <v>23</v>
      </c>
      <c r="E58" s="21" t="s">
        <v>30</v>
      </c>
      <c r="F58" s="21" t="s">
        <v>23</v>
      </c>
      <c r="G58" s="22"/>
      <c r="H58" s="23">
        <v>33.0</v>
      </c>
      <c r="I58" s="34">
        <v>50.0</v>
      </c>
      <c r="J58" s="25">
        <v>43.0</v>
      </c>
      <c r="K58" s="26">
        <v>37.0</v>
      </c>
      <c r="L58" s="27">
        <v>57.0</v>
      </c>
      <c r="M58" s="28">
        <f t="shared" si="1"/>
        <v>44</v>
      </c>
      <c r="N58" s="29">
        <f t="shared" si="2"/>
        <v>3</v>
      </c>
      <c r="O58" s="30" t="str">
        <f t="shared" si="5"/>
        <v>1</v>
      </c>
      <c r="P58" s="31">
        <f t="shared" si="6"/>
        <v>0</v>
      </c>
      <c r="Q58" s="32">
        <v>94.0</v>
      </c>
      <c r="S58" s="33"/>
    </row>
    <row r="59">
      <c r="A59" s="18">
        <v>52.0</v>
      </c>
      <c r="B59" s="19">
        <v>1.11625201052E11</v>
      </c>
      <c r="C59" s="20" t="s">
        <v>78</v>
      </c>
      <c r="D59" s="21" t="s">
        <v>23</v>
      </c>
      <c r="E59" s="21" t="s">
        <v>24</v>
      </c>
      <c r="F59" s="21" t="s">
        <v>23</v>
      </c>
      <c r="G59" s="22"/>
      <c r="H59" s="23">
        <v>63.0</v>
      </c>
      <c r="I59" s="34">
        <v>53.333333333333336</v>
      </c>
      <c r="J59" s="25">
        <v>50.0</v>
      </c>
      <c r="K59" s="26">
        <v>50.0</v>
      </c>
      <c r="L59" s="27">
        <v>63.0</v>
      </c>
      <c r="M59" s="28">
        <f t="shared" si="1"/>
        <v>55.86666667</v>
      </c>
      <c r="N59" s="29">
        <f t="shared" si="2"/>
        <v>0</v>
      </c>
      <c r="O59" s="30" t="str">
        <f t="shared" si="5"/>
        <v>0</v>
      </c>
      <c r="P59" s="31">
        <f t="shared" si="6"/>
        <v>0</v>
      </c>
      <c r="Q59" s="32">
        <v>94.0</v>
      </c>
      <c r="S59" s="33"/>
    </row>
    <row r="60">
      <c r="A60" s="18">
        <v>53.0</v>
      </c>
      <c r="B60" s="19">
        <v>1.11625201053E11</v>
      </c>
      <c r="C60" s="20" t="s">
        <v>79</v>
      </c>
      <c r="D60" s="21" t="s">
        <v>23</v>
      </c>
      <c r="E60" s="21" t="s">
        <v>24</v>
      </c>
      <c r="F60" s="21" t="s">
        <v>32</v>
      </c>
      <c r="G60" s="22"/>
      <c r="H60" s="23">
        <v>57.0</v>
      </c>
      <c r="I60" s="24">
        <v>70.0</v>
      </c>
      <c r="J60" s="25">
        <v>77.0</v>
      </c>
      <c r="K60" s="26">
        <v>63.0</v>
      </c>
      <c r="L60" s="27">
        <v>73.0</v>
      </c>
      <c r="M60" s="28">
        <f t="shared" si="1"/>
        <v>68</v>
      </c>
      <c r="N60" s="29">
        <f t="shared" si="2"/>
        <v>0</v>
      </c>
      <c r="O60" s="30" t="str">
        <f t="shared" si="5"/>
        <v>0</v>
      </c>
      <c r="P60" s="31">
        <f t="shared" si="6"/>
        <v>0</v>
      </c>
      <c r="Q60" s="32">
        <v>100.0</v>
      </c>
      <c r="S60" s="33"/>
    </row>
    <row r="61">
      <c r="A61" s="18">
        <v>54.0</v>
      </c>
      <c r="B61" s="19">
        <v>1.11625201054E11</v>
      </c>
      <c r="C61" s="20" t="s">
        <v>80</v>
      </c>
      <c r="D61" s="21" t="s">
        <v>27</v>
      </c>
      <c r="E61" s="21" t="s">
        <v>30</v>
      </c>
      <c r="F61" s="21" t="s">
        <v>32</v>
      </c>
      <c r="G61" s="22"/>
      <c r="H61" s="23">
        <v>80.0</v>
      </c>
      <c r="I61" s="24">
        <v>83.0</v>
      </c>
      <c r="J61" s="25">
        <v>70.0</v>
      </c>
      <c r="K61" s="26">
        <v>50.0</v>
      </c>
      <c r="L61" s="27">
        <v>90.0</v>
      </c>
      <c r="M61" s="28">
        <f t="shared" si="1"/>
        <v>74.6</v>
      </c>
      <c r="N61" s="29">
        <f t="shared" si="2"/>
        <v>0</v>
      </c>
      <c r="O61" s="30" t="str">
        <f t="shared" si="5"/>
        <v>0</v>
      </c>
      <c r="P61" s="31">
        <f t="shared" si="6"/>
        <v>0</v>
      </c>
      <c r="Q61" s="32">
        <v>100.0</v>
      </c>
      <c r="S61" s="33"/>
    </row>
    <row r="62">
      <c r="A62" s="18">
        <v>55.0</v>
      </c>
      <c r="B62" s="19">
        <v>1.11625201055E11</v>
      </c>
      <c r="C62" s="20" t="s">
        <v>81</v>
      </c>
      <c r="D62" s="21" t="s">
        <v>27</v>
      </c>
      <c r="E62" s="21" t="s">
        <v>30</v>
      </c>
      <c r="F62" s="21" t="s">
        <v>32</v>
      </c>
      <c r="G62" s="22"/>
      <c r="H62" s="23">
        <v>80.0</v>
      </c>
      <c r="I62" s="34">
        <v>53.333333333333336</v>
      </c>
      <c r="J62" s="25">
        <v>73.0</v>
      </c>
      <c r="K62" s="26">
        <v>67.0</v>
      </c>
      <c r="L62" s="27">
        <v>67.0</v>
      </c>
      <c r="M62" s="28">
        <f t="shared" si="1"/>
        <v>68.06666667</v>
      </c>
      <c r="N62" s="29">
        <f t="shared" si="2"/>
        <v>0</v>
      </c>
      <c r="O62" s="30" t="str">
        <f t="shared" si="5"/>
        <v>0</v>
      </c>
      <c r="P62" s="31">
        <f t="shared" si="6"/>
        <v>0</v>
      </c>
      <c r="Q62" s="32">
        <v>91.0</v>
      </c>
      <c r="S62" s="33"/>
    </row>
    <row r="63">
      <c r="A63" s="18">
        <v>56.0</v>
      </c>
      <c r="B63" s="19">
        <v>1.11625201056E11</v>
      </c>
      <c r="C63" s="20" t="s">
        <v>82</v>
      </c>
      <c r="D63" s="21" t="s">
        <v>23</v>
      </c>
      <c r="E63" s="21" t="s">
        <v>30</v>
      </c>
      <c r="F63" s="21" t="s">
        <v>32</v>
      </c>
      <c r="G63" s="22"/>
      <c r="H63" s="23">
        <v>60.0</v>
      </c>
      <c r="I63" s="34">
        <v>80.0</v>
      </c>
      <c r="J63" s="25">
        <v>50.0</v>
      </c>
      <c r="K63" s="26">
        <v>80.0</v>
      </c>
      <c r="L63" s="27">
        <v>50.0</v>
      </c>
      <c r="M63" s="28">
        <f t="shared" si="1"/>
        <v>64</v>
      </c>
      <c r="N63" s="29">
        <f t="shared" si="2"/>
        <v>0</v>
      </c>
      <c r="O63" s="30" t="str">
        <f t="shared" si="5"/>
        <v>0</v>
      </c>
      <c r="P63" s="31">
        <f t="shared" si="6"/>
        <v>0</v>
      </c>
      <c r="Q63" s="32">
        <v>98.0</v>
      </c>
      <c r="S63" s="33"/>
    </row>
    <row r="64">
      <c r="A64" s="18">
        <v>57.0</v>
      </c>
      <c r="B64" s="19">
        <v>1.11625201057E11</v>
      </c>
      <c r="C64" s="20" t="s">
        <v>83</v>
      </c>
      <c r="D64" s="21" t="s">
        <v>27</v>
      </c>
      <c r="E64" s="21" t="s">
        <v>24</v>
      </c>
      <c r="F64" s="21" t="s">
        <v>32</v>
      </c>
      <c r="G64" s="22"/>
      <c r="H64" s="23">
        <v>73.0</v>
      </c>
      <c r="I64" s="34">
        <v>70.0</v>
      </c>
      <c r="J64" s="25">
        <v>67.0</v>
      </c>
      <c r="K64" s="26">
        <v>80.0</v>
      </c>
      <c r="L64" s="27">
        <v>73.0</v>
      </c>
      <c r="M64" s="28">
        <f t="shared" si="1"/>
        <v>72.6</v>
      </c>
      <c r="N64" s="29">
        <f t="shared" si="2"/>
        <v>0</v>
      </c>
      <c r="O64" s="30" t="str">
        <f t="shared" si="5"/>
        <v>0</v>
      </c>
      <c r="P64" s="31">
        <f t="shared" si="6"/>
        <v>0</v>
      </c>
      <c r="Q64" s="32">
        <v>100.0</v>
      </c>
      <c r="S64" s="33"/>
    </row>
    <row r="65">
      <c r="A65" s="18">
        <v>58.0</v>
      </c>
      <c r="B65" s="19">
        <v>1.11625201058E11</v>
      </c>
      <c r="C65" s="20" t="s">
        <v>84</v>
      </c>
      <c r="D65" s="21" t="s">
        <v>23</v>
      </c>
      <c r="E65" s="21" t="s">
        <v>30</v>
      </c>
      <c r="F65" s="21" t="s">
        <v>23</v>
      </c>
      <c r="G65" s="22"/>
      <c r="H65" s="23">
        <v>50.0</v>
      </c>
      <c r="I65" s="34">
        <v>63.33333333333333</v>
      </c>
      <c r="J65" s="25">
        <v>93.0</v>
      </c>
      <c r="K65" s="26">
        <v>67.0</v>
      </c>
      <c r="L65" s="27">
        <v>90.0</v>
      </c>
      <c r="M65" s="28">
        <f t="shared" si="1"/>
        <v>72.66666667</v>
      </c>
      <c r="N65" s="29">
        <f t="shared" si="2"/>
        <v>0</v>
      </c>
      <c r="O65" s="30" t="str">
        <f t="shared" si="5"/>
        <v>0</v>
      </c>
      <c r="P65" s="31">
        <f t="shared" si="6"/>
        <v>0</v>
      </c>
      <c r="Q65" s="32">
        <v>98.0</v>
      </c>
      <c r="S65" s="33"/>
    </row>
    <row r="66">
      <c r="A66" s="18">
        <v>59.0</v>
      </c>
      <c r="B66" s="19">
        <v>1.11625201059E11</v>
      </c>
      <c r="C66" s="20" t="s">
        <v>85</v>
      </c>
      <c r="D66" s="21" t="s">
        <v>23</v>
      </c>
      <c r="E66" s="21" t="s">
        <v>30</v>
      </c>
      <c r="F66" s="21" t="s">
        <v>32</v>
      </c>
      <c r="G66" s="22"/>
      <c r="H66" s="23">
        <v>67.0</v>
      </c>
      <c r="I66" s="34">
        <v>66.66666666666666</v>
      </c>
      <c r="J66" s="25">
        <v>27.0</v>
      </c>
      <c r="K66" s="39">
        <v>37.0</v>
      </c>
      <c r="L66" s="27">
        <v>53.0</v>
      </c>
      <c r="M66" s="28">
        <f t="shared" si="1"/>
        <v>50.13333333</v>
      </c>
      <c r="N66" s="29">
        <f t="shared" si="2"/>
        <v>2</v>
      </c>
      <c r="O66" s="30" t="str">
        <f t="shared" si="5"/>
        <v>1</v>
      </c>
      <c r="P66" s="31">
        <f t="shared" si="6"/>
        <v>0</v>
      </c>
      <c r="Q66" s="32">
        <v>94.0</v>
      </c>
      <c r="S66" s="33"/>
    </row>
    <row r="67">
      <c r="A67" s="18">
        <v>60.0</v>
      </c>
      <c r="B67" s="19">
        <v>1.1162520106E11</v>
      </c>
      <c r="C67" s="20" t="s">
        <v>86</v>
      </c>
      <c r="D67" s="21" t="s">
        <v>23</v>
      </c>
      <c r="E67" s="21" t="s">
        <v>24</v>
      </c>
      <c r="F67" s="21" t="s">
        <v>32</v>
      </c>
      <c r="G67" s="22"/>
      <c r="H67" s="23">
        <v>73.0</v>
      </c>
      <c r="I67" s="34">
        <v>80.0</v>
      </c>
      <c r="J67" s="25">
        <v>60.0</v>
      </c>
      <c r="K67" s="26">
        <v>90.0</v>
      </c>
      <c r="L67" s="27">
        <v>100.0</v>
      </c>
      <c r="M67" s="28">
        <f t="shared" si="1"/>
        <v>80.6</v>
      </c>
      <c r="N67" s="29">
        <f t="shared" si="2"/>
        <v>0</v>
      </c>
      <c r="O67" s="30" t="str">
        <f t="shared" si="5"/>
        <v>0</v>
      </c>
      <c r="P67" s="31">
        <f t="shared" si="6"/>
        <v>0</v>
      </c>
      <c r="Q67" s="32">
        <v>100.0</v>
      </c>
      <c r="S67" s="33"/>
    </row>
    <row r="68">
      <c r="A68" s="18">
        <v>61.0</v>
      </c>
      <c r="B68" s="19">
        <v>1.11625201061E11</v>
      </c>
      <c r="C68" s="20" t="s">
        <v>87</v>
      </c>
      <c r="D68" s="21" t="s">
        <v>23</v>
      </c>
      <c r="E68" s="21" t="s">
        <v>24</v>
      </c>
      <c r="F68" s="21" t="s">
        <v>23</v>
      </c>
      <c r="G68" s="22"/>
      <c r="H68" s="23">
        <v>67.0</v>
      </c>
      <c r="I68" s="34">
        <v>63.33333333333333</v>
      </c>
      <c r="J68" s="25">
        <v>67.0</v>
      </c>
      <c r="K68" s="26">
        <v>53.0</v>
      </c>
      <c r="L68" s="27">
        <v>70.0</v>
      </c>
      <c r="M68" s="28">
        <f t="shared" si="1"/>
        <v>64.06666667</v>
      </c>
      <c r="N68" s="29">
        <f t="shared" si="2"/>
        <v>0</v>
      </c>
      <c r="O68" s="30" t="str">
        <f t="shared" si="5"/>
        <v>0</v>
      </c>
      <c r="P68" s="31">
        <f t="shared" si="6"/>
        <v>0</v>
      </c>
      <c r="Q68" s="32">
        <v>98.0</v>
      </c>
      <c r="S68" s="33"/>
    </row>
    <row r="69">
      <c r="A69" s="18">
        <v>62.0</v>
      </c>
      <c r="B69" s="19">
        <v>1.11625201062E11</v>
      </c>
      <c r="C69" s="20" t="s">
        <v>88</v>
      </c>
      <c r="D69" s="21" t="s">
        <v>23</v>
      </c>
      <c r="E69" s="21" t="s">
        <v>24</v>
      </c>
      <c r="F69" s="21" t="s">
        <v>23</v>
      </c>
      <c r="G69" s="22"/>
      <c r="H69" s="23">
        <v>60.0</v>
      </c>
      <c r="I69" s="34">
        <v>60.0</v>
      </c>
      <c r="J69" s="25">
        <v>60.0</v>
      </c>
      <c r="K69" s="26">
        <v>27.0</v>
      </c>
      <c r="L69" s="27">
        <v>80.0</v>
      </c>
      <c r="M69" s="28">
        <f t="shared" si="1"/>
        <v>57.4</v>
      </c>
      <c r="N69" s="29">
        <f t="shared" si="2"/>
        <v>1</v>
      </c>
      <c r="O69" s="30" t="str">
        <f t="shared" si="5"/>
        <v>1</v>
      </c>
      <c r="P69" s="31">
        <f t="shared" si="6"/>
        <v>0</v>
      </c>
      <c r="Q69" s="32">
        <v>96.0</v>
      </c>
      <c r="S69" s="33"/>
    </row>
    <row r="70">
      <c r="A70" s="30"/>
      <c r="B70" s="40"/>
      <c r="C70" s="41"/>
      <c r="D70" s="42"/>
      <c r="E70" s="42"/>
      <c r="F70" s="42"/>
      <c r="G70" s="43"/>
      <c r="H70" s="42"/>
      <c r="I70" s="43"/>
      <c r="J70" s="44"/>
      <c r="K70" s="43"/>
      <c r="L70" s="43"/>
      <c r="M70" s="30"/>
      <c r="N70" s="45"/>
      <c r="O70" s="2"/>
      <c r="P70" s="2"/>
      <c r="Q70" s="2"/>
    </row>
    <row r="71">
      <c r="A71" s="30"/>
      <c r="B71" s="46"/>
      <c r="C71" s="47" t="s">
        <v>89</v>
      </c>
      <c r="D71" s="9"/>
      <c r="E71" s="9"/>
      <c r="F71" s="48"/>
      <c r="G71" s="49"/>
      <c r="H71" s="50">
        <f>COUNT(A8:A69)</f>
        <v>62</v>
      </c>
      <c r="I71" s="50">
        <f>COUNT(A8:A69)</f>
        <v>62</v>
      </c>
      <c r="J71" s="50">
        <f>COUNT(A8:A69)</f>
        <v>62</v>
      </c>
      <c r="K71" s="50">
        <f>COUNT(A8:A69)</f>
        <v>62</v>
      </c>
      <c r="L71" s="50">
        <f>COUNT(A8:A69)</f>
        <v>62</v>
      </c>
      <c r="M71" s="51"/>
      <c r="N71" s="45"/>
      <c r="O71" s="2"/>
      <c r="P71" s="2"/>
      <c r="Q71" s="2"/>
    </row>
    <row r="72">
      <c r="A72" s="30"/>
      <c r="B72" s="46"/>
      <c r="C72" s="52" t="s">
        <v>90</v>
      </c>
      <c r="D72" s="9"/>
      <c r="E72" s="9"/>
      <c r="F72" s="48"/>
      <c r="G72" s="53"/>
      <c r="H72" s="54">
        <f t="shared" ref="H72:L72" si="7">H71-H73</f>
        <v>61</v>
      </c>
      <c r="I72" s="54">
        <f t="shared" si="7"/>
        <v>60</v>
      </c>
      <c r="J72" s="54">
        <f t="shared" si="7"/>
        <v>61</v>
      </c>
      <c r="K72" s="54">
        <f t="shared" si="7"/>
        <v>62</v>
      </c>
      <c r="L72" s="54">
        <f t="shared" si="7"/>
        <v>62</v>
      </c>
      <c r="M72" s="51"/>
      <c r="N72" s="45"/>
      <c r="O72" s="2"/>
      <c r="P72" s="2"/>
      <c r="Q72" s="2"/>
    </row>
    <row r="73">
      <c r="A73" s="30"/>
      <c r="B73" s="46"/>
      <c r="C73" s="55" t="s">
        <v>91</v>
      </c>
      <c r="D73" s="9"/>
      <c r="E73" s="9"/>
      <c r="F73" s="48"/>
      <c r="G73" s="56"/>
      <c r="H73" s="57">
        <f t="shared" ref="H73:L73" si="8">(COUNTIF((H8:H69),"=A"))</f>
        <v>1</v>
      </c>
      <c r="I73" s="57">
        <f t="shared" si="8"/>
        <v>2</v>
      </c>
      <c r="J73" s="57">
        <f t="shared" si="8"/>
        <v>1</v>
      </c>
      <c r="K73" s="57">
        <f t="shared" si="8"/>
        <v>0</v>
      </c>
      <c r="L73" s="57">
        <f t="shared" si="8"/>
        <v>0</v>
      </c>
      <c r="M73" s="51"/>
      <c r="N73" s="45"/>
      <c r="O73" s="2"/>
      <c r="P73" s="2"/>
      <c r="Q73" s="2"/>
    </row>
    <row r="74">
      <c r="A74" s="30"/>
      <c r="B74" s="46"/>
      <c r="C74" s="58" t="s">
        <v>92</v>
      </c>
      <c r="D74" s="9"/>
      <c r="E74" s="9"/>
      <c r="F74" s="48"/>
      <c r="G74" s="59"/>
      <c r="H74" s="60">
        <f t="shared" ref="H74:L74" si="9">H71-(H75+H73)</f>
        <v>54</v>
      </c>
      <c r="I74" s="60">
        <f t="shared" si="9"/>
        <v>51</v>
      </c>
      <c r="J74" s="60">
        <f t="shared" si="9"/>
        <v>52</v>
      </c>
      <c r="K74" s="60">
        <f t="shared" si="9"/>
        <v>38</v>
      </c>
      <c r="L74" s="60">
        <f t="shared" si="9"/>
        <v>55</v>
      </c>
      <c r="M74" s="51"/>
      <c r="N74" s="45"/>
      <c r="O74" s="2"/>
      <c r="P74" s="2"/>
      <c r="Q74" s="2"/>
    </row>
    <row r="75">
      <c r="A75" s="30"/>
      <c r="B75" s="61"/>
      <c r="C75" s="62" t="s">
        <v>93</v>
      </c>
      <c r="D75" s="9"/>
      <c r="E75" s="9"/>
      <c r="F75" s="48"/>
      <c r="G75" s="63"/>
      <c r="H75" s="64">
        <f>(COUNTIF((H8:H69),"&lt;50"))</f>
        <v>7</v>
      </c>
      <c r="I75" s="64">
        <f t="shared" ref="I75:L75" si="10">COUNTIF((I8:I69),"&lt;50")</f>
        <v>9</v>
      </c>
      <c r="J75" s="64">
        <f t="shared" si="10"/>
        <v>9</v>
      </c>
      <c r="K75" s="64">
        <f t="shared" si="10"/>
        <v>24</v>
      </c>
      <c r="L75" s="64">
        <f t="shared" si="10"/>
        <v>7</v>
      </c>
      <c r="M75" s="51"/>
      <c r="N75" s="45"/>
      <c r="O75" s="2"/>
      <c r="P75" s="2"/>
      <c r="Q75" s="2"/>
    </row>
    <row r="76">
      <c r="A76" s="30"/>
      <c r="B76" s="61"/>
      <c r="C76" s="65" t="s">
        <v>94</v>
      </c>
      <c r="D76" s="9"/>
      <c r="E76" s="9"/>
      <c r="F76" s="48"/>
      <c r="G76" s="66"/>
      <c r="H76" s="67">
        <f t="shared" ref="H76:L76" si="11">(H74/H72)*100</f>
        <v>88.52459016</v>
      </c>
      <c r="I76" s="67">
        <f t="shared" si="11"/>
        <v>85</v>
      </c>
      <c r="J76" s="67">
        <f t="shared" si="11"/>
        <v>85.24590164</v>
      </c>
      <c r="K76" s="67">
        <f t="shared" si="11"/>
        <v>61.29032258</v>
      </c>
      <c r="L76" s="67">
        <f t="shared" si="11"/>
        <v>88.70967742</v>
      </c>
      <c r="M76" s="68"/>
      <c r="N76" s="45"/>
      <c r="O76" s="2"/>
      <c r="P76" s="2"/>
      <c r="Q76" s="2"/>
    </row>
    <row r="77">
      <c r="A77" s="30"/>
      <c r="B77" s="61"/>
      <c r="C77" s="69" t="s">
        <v>95</v>
      </c>
      <c r="D77" s="9"/>
      <c r="E77" s="9"/>
      <c r="F77" s="48"/>
      <c r="G77" s="70"/>
      <c r="H77" s="71">
        <f>COUNTIFS(N8:N69,"=1", H8:H69,"&lt;50")+COUNTIFS(N8:N69,"=1", H8:H69,"=A")</f>
        <v>0</v>
      </c>
      <c r="I77" s="71">
        <f>COUNTIFS(N8:N69,"=1", I8:I69,"&lt;50")+COUNTIFS(N8:N69,"=1", I8:I69,"=A")</f>
        <v>2</v>
      </c>
      <c r="J77" s="71">
        <f>COUNTIFS(N8:N69,"=1", J8:J69,"&lt;50")+COUNTIFS(N8:N69,"=1", J8:J69,"=A")</f>
        <v>0</v>
      </c>
      <c r="K77" s="71">
        <f>COUNTIFS(N8:N69,"=1", K8:K69,"&lt;50")+COUNTIFS(N8:N69,"=1", K8:K69,"=A")</f>
        <v>9</v>
      </c>
      <c r="L77" s="71">
        <f>COUNTIFS(N8:N69,"=1", L8:L69,"&lt;50")+COUNTIFS(N8:N69,"=1", L8:L69,"=A")</f>
        <v>0</v>
      </c>
      <c r="M77" s="51"/>
      <c r="N77" s="45"/>
      <c r="O77" s="2"/>
      <c r="P77" s="2"/>
      <c r="Q77" s="2"/>
    </row>
    <row r="78">
      <c r="A78" s="30"/>
      <c r="B78" s="2"/>
      <c r="C78" s="72"/>
      <c r="D78" s="42"/>
      <c r="E78" s="42"/>
      <c r="F78" s="42"/>
      <c r="G78" s="30"/>
      <c r="H78" s="73"/>
      <c r="I78" s="30"/>
      <c r="J78" s="74"/>
      <c r="K78" s="30"/>
      <c r="L78" s="30"/>
      <c r="M78" s="30"/>
      <c r="N78" s="45"/>
      <c r="O78" s="2"/>
      <c r="P78" s="2"/>
      <c r="Q78" s="2"/>
    </row>
    <row r="79">
      <c r="A79" s="30"/>
      <c r="B79" s="61"/>
      <c r="C79" s="75" t="s">
        <v>96</v>
      </c>
      <c r="D79" s="9"/>
      <c r="E79" s="9"/>
      <c r="F79" s="48"/>
      <c r="G79" s="76"/>
      <c r="H79" s="77">
        <f>COUNTIF((N8:N69),"=0")</f>
        <v>32</v>
      </c>
      <c r="I79" s="68"/>
      <c r="J79" s="74"/>
      <c r="K79" s="30"/>
      <c r="L79" s="30"/>
      <c r="M79" s="30"/>
      <c r="N79" s="45"/>
      <c r="O79" s="2"/>
      <c r="P79" s="2"/>
      <c r="Q79" s="2"/>
    </row>
    <row r="80">
      <c r="A80" s="30"/>
      <c r="B80" s="61"/>
      <c r="C80" s="75" t="s">
        <v>97</v>
      </c>
      <c r="D80" s="9"/>
      <c r="E80" s="9"/>
      <c r="F80" s="48"/>
      <c r="G80" s="76"/>
      <c r="H80" s="77">
        <f>(COUNTIF((N8:N69),"&gt;0"))</f>
        <v>30</v>
      </c>
      <c r="I80" s="2"/>
      <c r="J80" s="74"/>
      <c r="K80" s="30"/>
      <c r="L80" s="30"/>
      <c r="M80" s="30"/>
      <c r="N80" s="45"/>
      <c r="O80" s="2"/>
      <c r="P80" s="2"/>
      <c r="Q80" s="2"/>
    </row>
    <row r="81">
      <c r="A81" s="30"/>
      <c r="B81" s="61"/>
      <c r="C81" s="75" t="s">
        <v>98</v>
      </c>
      <c r="D81" s="9"/>
      <c r="E81" s="9"/>
      <c r="F81" s="48"/>
      <c r="G81" s="76"/>
      <c r="H81" s="77">
        <f>(COUNTIF((P8:P69),"=5"))</f>
        <v>0</v>
      </c>
      <c r="I81" s="2"/>
      <c r="J81" s="74"/>
      <c r="K81" s="30"/>
      <c r="L81" s="30"/>
      <c r="M81" s="30"/>
      <c r="N81" s="45"/>
      <c r="O81" s="2"/>
      <c r="P81" s="2"/>
      <c r="Q81" s="2"/>
    </row>
    <row r="82">
      <c r="A82" s="30"/>
      <c r="B82" s="61"/>
      <c r="C82" s="75" t="s">
        <v>99</v>
      </c>
      <c r="D82" s="9"/>
      <c r="E82" s="9"/>
      <c r="F82" s="48"/>
      <c r="G82" s="78"/>
      <c r="H82" s="77">
        <f>COUNT(A8:A69)-H81</f>
        <v>62</v>
      </c>
      <c r="I82" s="2"/>
      <c r="J82" s="74"/>
      <c r="K82" s="30"/>
      <c r="L82" s="30"/>
      <c r="M82" s="30"/>
      <c r="N82" s="45"/>
      <c r="O82" s="2"/>
      <c r="P82" s="2"/>
      <c r="Q82" s="2"/>
    </row>
    <row r="83">
      <c r="A83" s="30"/>
      <c r="B83" s="61"/>
      <c r="C83" s="75" t="s">
        <v>100</v>
      </c>
      <c r="D83" s="9"/>
      <c r="E83" s="9"/>
      <c r="F83" s="48"/>
      <c r="G83" s="78"/>
      <c r="H83" s="79">
        <f>(H79/H82)*100</f>
        <v>51.61290323</v>
      </c>
      <c r="I83" s="2"/>
      <c r="J83" s="74"/>
      <c r="K83" s="30"/>
      <c r="L83" s="30"/>
      <c r="M83" s="30"/>
      <c r="N83" s="45"/>
      <c r="O83" s="2"/>
      <c r="P83" s="2"/>
      <c r="Q83" s="2"/>
    </row>
    <row r="84">
      <c r="A84" s="30"/>
      <c r="B84" s="61"/>
      <c r="C84" s="75" t="s">
        <v>101</v>
      </c>
      <c r="D84" s="9"/>
      <c r="E84" s="9"/>
      <c r="F84" s="48"/>
      <c r="G84" s="78"/>
      <c r="H84" s="80">
        <f>max(M8:M69)</f>
        <v>88.66666667</v>
      </c>
      <c r="I84" s="30"/>
      <c r="J84" s="74"/>
      <c r="K84" s="30"/>
      <c r="L84" s="30"/>
      <c r="M84" s="30"/>
      <c r="N84" s="81"/>
      <c r="O84" s="82"/>
      <c r="P84" s="2"/>
      <c r="Q84" s="2"/>
    </row>
    <row r="85">
      <c r="A85" s="30"/>
      <c r="B85" s="2"/>
      <c r="C85" s="2"/>
      <c r="D85" s="74"/>
      <c r="E85" s="74"/>
      <c r="F85" s="74"/>
      <c r="G85" s="30"/>
      <c r="H85" s="74"/>
      <c r="I85" s="30"/>
      <c r="J85" s="74"/>
      <c r="K85" s="30"/>
      <c r="L85" s="30"/>
      <c r="M85" s="30"/>
      <c r="N85" s="81"/>
      <c r="O85" s="82"/>
      <c r="P85" s="2"/>
      <c r="Q85" s="2"/>
    </row>
    <row r="86">
      <c r="A86" s="30"/>
      <c r="B86" s="41"/>
      <c r="C86" s="41"/>
      <c r="D86" s="83"/>
      <c r="E86" s="83"/>
      <c r="F86" s="83"/>
      <c r="G86" s="2"/>
      <c r="H86" s="84"/>
      <c r="I86" s="41"/>
      <c r="J86" s="83"/>
      <c r="K86" s="2"/>
      <c r="L86" s="2"/>
      <c r="M86" s="2"/>
      <c r="N86" s="81"/>
      <c r="O86" s="82"/>
      <c r="P86" s="2"/>
      <c r="Q86" s="2"/>
    </row>
    <row r="87" hidden="1">
      <c r="A87" s="85"/>
      <c r="B87" s="86" t="s">
        <v>102</v>
      </c>
      <c r="C87" s="87" t="s">
        <v>103</v>
      </c>
      <c r="D87" s="88"/>
      <c r="E87" s="88"/>
      <c r="F87" s="88"/>
      <c r="G87" s="89"/>
      <c r="H87" s="90">
        <f>COUNTIFS(N8:N69,"&gt;0", E8:E69,"=H")</f>
        <v>21</v>
      </c>
      <c r="I87" s="91">
        <f>(H74-H87)/H74*100</f>
        <v>61.11111111</v>
      </c>
      <c r="J87" s="74"/>
      <c r="K87" s="30"/>
      <c r="L87" s="30"/>
      <c r="M87" s="30"/>
      <c r="N87" s="81"/>
      <c r="O87" s="82"/>
      <c r="P87" s="2"/>
      <c r="Q87" s="2"/>
    </row>
    <row r="88" hidden="1">
      <c r="A88" s="85"/>
      <c r="B88" s="48"/>
      <c r="C88" s="87" t="s">
        <v>104</v>
      </c>
      <c r="D88" s="88"/>
      <c r="E88" s="88"/>
      <c r="F88" s="88"/>
      <c r="G88" s="89"/>
      <c r="H88" s="92">
        <f>COUNTIFS(N8:N69,"&gt;0", E8:E69,"=D")</f>
        <v>9</v>
      </c>
      <c r="I88" s="91">
        <f>(H74-H88)/H74*100</f>
        <v>83.33333333</v>
      </c>
      <c r="J88" s="74"/>
      <c r="K88" s="30"/>
      <c r="L88" s="30"/>
      <c r="M88" s="30"/>
      <c r="N88" s="81"/>
      <c r="O88" s="82"/>
      <c r="P88" s="2"/>
      <c r="Q88" s="2"/>
    </row>
    <row r="89" hidden="1">
      <c r="A89" s="85"/>
      <c r="B89" s="93" t="s">
        <v>105</v>
      </c>
      <c r="C89" s="94" t="s">
        <v>106</v>
      </c>
      <c r="D89" s="95"/>
      <c r="E89" s="95"/>
      <c r="F89" s="95"/>
      <c r="G89" s="96"/>
      <c r="H89" s="97">
        <f>COUNTIFS(N8:N69,"&gt;0", D8:D69,"=G")</f>
        <v>5</v>
      </c>
      <c r="I89" s="98">
        <f>(H74-H89)/H74*100</f>
        <v>90.74074074</v>
      </c>
      <c r="J89" s="74"/>
      <c r="K89" s="30"/>
      <c r="L89" s="30"/>
      <c r="M89" s="30"/>
      <c r="N89" s="81"/>
      <c r="O89" s="82"/>
      <c r="P89" s="2"/>
      <c r="Q89" s="2"/>
    </row>
    <row r="90" hidden="1">
      <c r="A90" s="85"/>
      <c r="B90" s="48"/>
      <c r="C90" s="94" t="s">
        <v>107</v>
      </c>
      <c r="D90" s="95"/>
      <c r="E90" s="95"/>
      <c r="F90" s="95"/>
      <c r="G90" s="96"/>
      <c r="H90" s="99">
        <f>COUNTIFS(N8:N69,"&gt;0", D8:D69,"=M")</f>
        <v>25</v>
      </c>
      <c r="I90" s="98">
        <f>(H74-H90)/H74*100</f>
        <v>53.7037037</v>
      </c>
      <c r="J90" s="74"/>
      <c r="K90" s="30"/>
      <c r="L90" s="30"/>
      <c r="M90" s="30"/>
      <c r="N90" s="81"/>
      <c r="O90" s="82"/>
      <c r="P90" s="2"/>
      <c r="Q90" s="2"/>
    </row>
    <row r="91" hidden="1">
      <c r="A91" s="85"/>
      <c r="B91" s="100" t="s">
        <v>108</v>
      </c>
      <c r="C91" s="101" t="s">
        <v>109</v>
      </c>
      <c r="D91" s="102"/>
      <c r="E91" s="102"/>
      <c r="F91" s="102"/>
      <c r="G91" s="103"/>
      <c r="H91" s="104" t="str">
        <f>COUNTIFS(N8:N69,"&gt;0", #REF!,"=T")</f>
        <v>#VALUE!</v>
      </c>
      <c r="I91" s="105" t="str">
        <f>(H74-H91)/H74*100</f>
        <v>#VALUE!</v>
      </c>
      <c r="J91" s="74"/>
      <c r="K91" s="30"/>
      <c r="L91" s="30"/>
      <c r="M91" s="30"/>
      <c r="N91" s="81"/>
      <c r="O91" s="82"/>
      <c r="P91" s="2"/>
      <c r="Q91" s="2"/>
    </row>
    <row r="92" hidden="1">
      <c r="A92" s="85"/>
      <c r="B92" s="48"/>
      <c r="C92" s="101" t="s">
        <v>110</v>
      </c>
      <c r="D92" s="102"/>
      <c r="E92" s="102"/>
      <c r="F92" s="102"/>
      <c r="G92" s="103"/>
      <c r="H92" s="104" t="str">
        <f>COUNTIFS(N8:N69,"&gt;0", #REF!,"=E")</f>
        <v>#VALUE!</v>
      </c>
      <c r="I92" s="105" t="str">
        <f>(H74-H92)/H74*100</f>
        <v>#VALUE!</v>
      </c>
      <c r="J92" s="74"/>
      <c r="K92" s="30"/>
      <c r="L92" s="30"/>
      <c r="M92" s="30"/>
      <c r="N92" s="81"/>
      <c r="O92" s="82"/>
      <c r="P92" s="2"/>
      <c r="Q92" s="2"/>
    </row>
    <row r="93" hidden="1">
      <c r="A93" s="85"/>
      <c r="B93" s="106" t="s">
        <v>111</v>
      </c>
      <c r="C93" s="107" t="s">
        <v>112</v>
      </c>
      <c r="D93" s="108"/>
      <c r="E93" s="108"/>
      <c r="F93" s="108"/>
      <c r="G93" s="109"/>
      <c r="H93" s="110">
        <f>COUNTIFS(N8:N69,"&gt;0", F8:F69,"=G")</f>
        <v>0</v>
      </c>
      <c r="I93" s="111">
        <f>(H76-H93)/H76*100</f>
        <v>100</v>
      </c>
      <c r="J93" s="74"/>
      <c r="K93" s="30"/>
      <c r="L93" s="30"/>
      <c r="M93" s="30"/>
      <c r="N93" s="81"/>
      <c r="O93" s="82"/>
      <c r="P93" s="2"/>
      <c r="Q93" s="2"/>
    </row>
    <row r="94" hidden="1">
      <c r="A94" s="85"/>
      <c r="B94" s="48"/>
      <c r="C94" s="107" t="s">
        <v>113</v>
      </c>
      <c r="D94" s="108"/>
      <c r="E94" s="108"/>
      <c r="F94" s="108"/>
      <c r="G94" s="109"/>
      <c r="H94" s="110">
        <f>COUNTIFS(N8:N69,"&gt;0", F8:F69,"=B")</f>
        <v>0</v>
      </c>
      <c r="I94" s="111">
        <f>(H76-H94)/H76*100</f>
        <v>100</v>
      </c>
      <c r="J94" s="74"/>
      <c r="K94" s="30"/>
      <c r="L94" s="30"/>
      <c r="M94" s="30"/>
      <c r="N94" s="81"/>
      <c r="O94" s="82"/>
      <c r="P94" s="2"/>
      <c r="Q94" s="2"/>
    </row>
    <row r="95" hidden="1">
      <c r="A95" s="30"/>
      <c r="B95" s="2"/>
      <c r="C95" s="41"/>
      <c r="D95" s="42"/>
      <c r="E95" s="42"/>
      <c r="F95" s="42"/>
      <c r="G95" s="43"/>
      <c r="H95" s="84"/>
      <c r="I95" s="43"/>
      <c r="J95" s="42"/>
      <c r="K95" s="43"/>
      <c r="L95" s="43"/>
      <c r="M95" s="43"/>
      <c r="N95" s="81"/>
      <c r="O95" s="82"/>
      <c r="P95" s="2"/>
      <c r="Q95" s="2"/>
    </row>
    <row r="96">
      <c r="A96" s="30"/>
      <c r="B96" s="61"/>
      <c r="C96" s="112" t="s">
        <v>114</v>
      </c>
      <c r="D96" s="9"/>
      <c r="E96" s="9"/>
      <c r="F96" s="48"/>
      <c r="G96" s="113"/>
      <c r="H96" s="114" t="s">
        <v>115</v>
      </c>
      <c r="I96" s="114" t="s">
        <v>116</v>
      </c>
      <c r="J96" s="114" t="s">
        <v>117</v>
      </c>
      <c r="K96" s="114" t="s">
        <v>118</v>
      </c>
      <c r="L96" s="115" t="s">
        <v>119</v>
      </c>
      <c r="M96" s="116" t="s">
        <v>120</v>
      </c>
      <c r="N96" s="51"/>
      <c r="O96" s="51"/>
      <c r="P96" s="2"/>
      <c r="Q96" s="2"/>
    </row>
    <row r="97">
      <c r="A97" s="30"/>
      <c r="B97" s="61"/>
      <c r="C97" s="117" t="s">
        <v>121</v>
      </c>
      <c r="D97" s="9"/>
      <c r="E97" s="9"/>
      <c r="F97" s="48"/>
      <c r="G97" s="118"/>
      <c r="H97" s="119">
        <f>COUNTIF(F8:F69,"=F")</f>
        <v>25</v>
      </c>
      <c r="I97" s="119">
        <f>(COUNTIF((F8:F69),"=M"))</f>
        <v>37</v>
      </c>
      <c r="J97" s="119">
        <f>(COUNTIF((D8:D69),"=M"))</f>
        <v>42</v>
      </c>
      <c r="K97" s="119">
        <f>(COUNTIF((D8:D69),"=G"))</f>
        <v>20</v>
      </c>
      <c r="L97" s="119">
        <f>(COUNTIF((E8:E69),"=D"))</f>
        <v>23</v>
      </c>
      <c r="M97" s="120">
        <f>(COUNTIF((E8:E70),"=H"))</f>
        <v>39</v>
      </c>
      <c r="N97" s="51"/>
      <c r="O97" s="51"/>
      <c r="P97" s="2"/>
      <c r="Q97" s="2"/>
    </row>
    <row r="98">
      <c r="A98" s="30"/>
      <c r="B98" s="61"/>
      <c r="C98" s="117" t="s">
        <v>122</v>
      </c>
      <c r="D98" s="9"/>
      <c r="E98" s="9"/>
      <c r="F98" s="48"/>
      <c r="G98" s="118"/>
      <c r="H98" s="119">
        <f>COUNTIFS(N8:N69,"=0", F8:F69,"=F")</f>
        <v>20</v>
      </c>
      <c r="I98" s="119">
        <f>COUNTIFS(N8:N69,"=0", F8:F69,"=M")</f>
        <v>12</v>
      </c>
      <c r="J98" s="119">
        <f>COUNTIFS(N8:N69,"=0", D8:D69,"=M")</f>
        <v>17</v>
      </c>
      <c r="K98" s="119">
        <f>COUNTIFS(N8:N69,"=0", D8:D69,"=G")</f>
        <v>15</v>
      </c>
      <c r="L98" s="119">
        <f>COUNTIFS(N8:N69,"=0", E8:E69,"=D")</f>
        <v>14</v>
      </c>
      <c r="M98" s="120">
        <f>COUNTIFS(N8:N70,"=0", E8:E70,"=H")</f>
        <v>18</v>
      </c>
      <c r="N98" s="51"/>
      <c r="O98" s="51"/>
      <c r="P98" s="2"/>
      <c r="Q98" s="2"/>
    </row>
    <row r="99">
      <c r="A99" s="30"/>
      <c r="B99" s="61"/>
      <c r="C99" s="117" t="s">
        <v>123</v>
      </c>
      <c r="D99" s="9"/>
      <c r="E99" s="9"/>
      <c r="F99" s="48"/>
      <c r="G99" s="118"/>
      <c r="H99" s="119">
        <f t="shared" ref="H99:M99" si="12">H97-H98</f>
        <v>5</v>
      </c>
      <c r="I99" s="119">
        <f t="shared" si="12"/>
        <v>25</v>
      </c>
      <c r="J99" s="119">
        <f t="shared" si="12"/>
        <v>25</v>
      </c>
      <c r="K99" s="119">
        <f t="shared" si="12"/>
        <v>5</v>
      </c>
      <c r="L99" s="119">
        <f t="shared" si="12"/>
        <v>9</v>
      </c>
      <c r="M99" s="120">
        <f t="shared" si="12"/>
        <v>21</v>
      </c>
      <c r="N99" s="51"/>
      <c r="O99" s="51"/>
      <c r="P99" s="2"/>
      <c r="Q99" s="2"/>
    </row>
    <row r="100">
      <c r="A100" s="30"/>
      <c r="B100" s="61"/>
      <c r="C100" s="121" t="s">
        <v>124</v>
      </c>
      <c r="D100" s="9"/>
      <c r="E100" s="9"/>
      <c r="F100" s="48"/>
      <c r="G100" s="118"/>
      <c r="H100" s="122">
        <f t="shared" ref="H100:M100" si="13">(H98/H97)*100</f>
        <v>80</v>
      </c>
      <c r="I100" s="122">
        <f t="shared" si="13"/>
        <v>32.43243243</v>
      </c>
      <c r="J100" s="122">
        <f t="shared" si="13"/>
        <v>40.47619048</v>
      </c>
      <c r="K100" s="122">
        <f t="shared" si="13"/>
        <v>75</v>
      </c>
      <c r="L100" s="122">
        <f t="shared" si="13"/>
        <v>60.86956522</v>
      </c>
      <c r="M100" s="123">
        <f t="shared" si="13"/>
        <v>46.15384615</v>
      </c>
      <c r="N100" s="124"/>
      <c r="O100" s="68"/>
      <c r="P100" s="2"/>
      <c r="Q100" s="2"/>
    </row>
    <row r="101">
      <c r="A101" s="30"/>
      <c r="B101" s="2"/>
      <c r="C101" s="2"/>
      <c r="D101" s="74"/>
      <c r="E101" s="74"/>
      <c r="F101" s="74"/>
      <c r="G101" s="30"/>
      <c r="H101" s="74"/>
      <c r="I101" s="30"/>
      <c r="J101" s="74"/>
      <c r="K101" s="30"/>
      <c r="L101" s="30"/>
      <c r="M101" s="30"/>
      <c r="N101" s="45"/>
      <c r="O101" s="2"/>
      <c r="P101" s="2"/>
      <c r="Q101" s="2"/>
    </row>
    <row r="102">
      <c r="D102" s="125"/>
      <c r="E102" s="125"/>
      <c r="F102" s="125"/>
      <c r="H102" s="125"/>
      <c r="J102" s="125"/>
    </row>
    <row r="103">
      <c r="D103" s="125"/>
      <c r="E103" s="125"/>
      <c r="F103" s="125"/>
      <c r="H103" s="125"/>
      <c r="J103" s="125"/>
    </row>
    <row r="104">
      <c r="D104" s="125"/>
      <c r="E104" s="125"/>
      <c r="F104" s="125"/>
      <c r="H104" s="125"/>
      <c r="J104" s="125"/>
    </row>
    <row r="105">
      <c r="D105" s="125"/>
      <c r="E105" s="125"/>
      <c r="F105" s="125"/>
      <c r="H105" s="125"/>
      <c r="J105" s="125"/>
    </row>
    <row r="106">
      <c r="D106" s="125"/>
      <c r="E106" s="125"/>
      <c r="F106" s="125"/>
      <c r="H106" s="125"/>
      <c r="J106" s="125"/>
    </row>
    <row r="107">
      <c r="D107" s="125"/>
      <c r="E107" s="125"/>
      <c r="F107" s="125"/>
      <c r="H107" s="125"/>
      <c r="J107" s="125"/>
    </row>
    <row r="108">
      <c r="D108" s="125"/>
      <c r="E108" s="125"/>
      <c r="F108" s="125"/>
      <c r="H108" s="125"/>
      <c r="J108" s="125"/>
    </row>
    <row r="109">
      <c r="D109" s="125"/>
      <c r="E109" s="125"/>
      <c r="F109" s="125"/>
      <c r="H109" s="125"/>
      <c r="J109" s="125"/>
    </row>
    <row r="110">
      <c r="D110" s="125"/>
      <c r="E110" s="125"/>
      <c r="F110" s="125"/>
      <c r="H110" s="125"/>
      <c r="J110" s="125"/>
    </row>
    <row r="111">
      <c r="D111" s="125"/>
      <c r="E111" s="125"/>
      <c r="F111" s="125"/>
      <c r="H111" s="125"/>
      <c r="J111" s="125"/>
    </row>
    <row r="112">
      <c r="D112" s="125"/>
      <c r="E112" s="125"/>
      <c r="F112" s="125"/>
      <c r="H112" s="125"/>
      <c r="J112" s="125"/>
    </row>
    <row r="113">
      <c r="D113" s="125"/>
      <c r="E113" s="125"/>
      <c r="F113" s="125"/>
      <c r="H113" s="125"/>
      <c r="J113" s="125"/>
    </row>
    <row r="114">
      <c r="D114" s="125"/>
      <c r="E114" s="125"/>
      <c r="F114" s="125"/>
      <c r="H114" s="125"/>
      <c r="J114" s="125"/>
    </row>
    <row r="115">
      <c r="D115" s="125"/>
      <c r="E115" s="125"/>
      <c r="F115" s="125"/>
      <c r="H115" s="125"/>
      <c r="J115" s="125"/>
    </row>
    <row r="116">
      <c r="D116" s="125"/>
      <c r="E116" s="125"/>
      <c r="F116" s="125"/>
      <c r="H116" s="125"/>
      <c r="J116" s="125"/>
    </row>
    <row r="117">
      <c r="D117" s="125"/>
      <c r="E117" s="125"/>
      <c r="F117" s="125"/>
      <c r="H117" s="125"/>
      <c r="J117" s="125"/>
    </row>
    <row r="118">
      <c r="D118" s="125"/>
      <c r="E118" s="125"/>
      <c r="F118" s="125"/>
      <c r="H118" s="125"/>
      <c r="J118" s="125"/>
    </row>
    <row r="119">
      <c r="D119" s="125"/>
      <c r="E119" s="125"/>
      <c r="F119" s="125"/>
      <c r="H119" s="125"/>
      <c r="J119" s="125"/>
    </row>
    <row r="120">
      <c r="D120" s="125"/>
      <c r="E120" s="125"/>
      <c r="F120" s="125"/>
      <c r="H120" s="125"/>
      <c r="J120" s="125"/>
    </row>
    <row r="121">
      <c r="D121" s="125"/>
      <c r="E121" s="125"/>
      <c r="F121" s="125"/>
      <c r="H121" s="125"/>
      <c r="J121" s="125"/>
    </row>
    <row r="122">
      <c r="D122" s="125"/>
      <c r="E122" s="125"/>
      <c r="F122" s="125"/>
      <c r="H122" s="125"/>
      <c r="J122" s="125"/>
    </row>
    <row r="123">
      <c r="D123" s="125"/>
      <c r="E123" s="125"/>
      <c r="F123" s="125"/>
      <c r="H123" s="125"/>
      <c r="J123" s="125"/>
    </row>
    <row r="124">
      <c r="D124" s="125"/>
      <c r="E124" s="125"/>
      <c r="F124" s="125"/>
      <c r="H124" s="125"/>
      <c r="J124" s="125"/>
    </row>
    <row r="125">
      <c r="D125" s="125"/>
      <c r="E125" s="125"/>
      <c r="F125" s="125"/>
      <c r="H125" s="125"/>
      <c r="J125" s="125"/>
    </row>
    <row r="126">
      <c r="D126" s="125"/>
      <c r="E126" s="125"/>
      <c r="F126" s="125"/>
      <c r="H126" s="125"/>
      <c r="J126" s="125"/>
    </row>
    <row r="127">
      <c r="D127" s="125"/>
      <c r="E127" s="125"/>
      <c r="F127" s="125"/>
      <c r="H127" s="125"/>
      <c r="J127" s="125"/>
    </row>
    <row r="128">
      <c r="D128" s="125"/>
      <c r="E128" s="125"/>
      <c r="F128" s="125"/>
      <c r="H128" s="125"/>
      <c r="J128" s="125"/>
    </row>
    <row r="129">
      <c r="D129" s="125"/>
      <c r="E129" s="125"/>
      <c r="F129" s="125"/>
      <c r="H129" s="125"/>
      <c r="J129" s="125"/>
    </row>
    <row r="130">
      <c r="D130" s="125"/>
      <c r="E130" s="125"/>
      <c r="F130" s="125"/>
      <c r="H130" s="125"/>
      <c r="J130" s="125"/>
    </row>
    <row r="131">
      <c r="D131" s="125"/>
      <c r="E131" s="125"/>
      <c r="F131" s="125"/>
      <c r="H131" s="125"/>
      <c r="J131" s="125"/>
    </row>
    <row r="132">
      <c r="D132" s="125"/>
      <c r="E132" s="125"/>
      <c r="F132" s="125"/>
      <c r="H132" s="125"/>
      <c r="J132" s="125"/>
    </row>
    <row r="133">
      <c r="D133" s="125"/>
      <c r="E133" s="125"/>
      <c r="F133" s="125"/>
      <c r="H133" s="125"/>
      <c r="J133" s="125"/>
    </row>
    <row r="134">
      <c r="D134" s="125"/>
      <c r="E134" s="125"/>
      <c r="F134" s="125"/>
      <c r="H134" s="125"/>
      <c r="J134" s="125"/>
    </row>
    <row r="135">
      <c r="D135" s="125"/>
      <c r="E135" s="125"/>
      <c r="F135" s="125"/>
      <c r="H135" s="125"/>
      <c r="J135" s="125"/>
    </row>
    <row r="136">
      <c r="D136" s="125"/>
      <c r="E136" s="125"/>
      <c r="F136" s="125"/>
      <c r="H136" s="125"/>
      <c r="J136" s="125"/>
    </row>
    <row r="137">
      <c r="D137" s="125"/>
      <c r="E137" s="125"/>
      <c r="F137" s="125"/>
      <c r="H137" s="125"/>
      <c r="J137" s="125"/>
    </row>
    <row r="138">
      <c r="D138" s="125"/>
      <c r="E138" s="125"/>
      <c r="F138" s="125"/>
      <c r="H138" s="125"/>
      <c r="J138" s="125"/>
    </row>
    <row r="139">
      <c r="D139" s="125"/>
      <c r="E139" s="125"/>
      <c r="F139" s="125"/>
      <c r="H139" s="125"/>
      <c r="J139" s="125"/>
    </row>
    <row r="140">
      <c r="D140" s="125"/>
      <c r="E140" s="125"/>
      <c r="F140" s="125"/>
      <c r="H140" s="125"/>
      <c r="J140" s="125"/>
    </row>
    <row r="141">
      <c r="D141" s="125"/>
      <c r="E141" s="125"/>
      <c r="F141" s="125"/>
      <c r="H141" s="125"/>
      <c r="J141" s="125"/>
    </row>
    <row r="142">
      <c r="D142" s="125"/>
      <c r="E142" s="125"/>
      <c r="F142" s="125"/>
      <c r="H142" s="125"/>
      <c r="J142" s="125"/>
    </row>
    <row r="143">
      <c r="D143" s="125"/>
      <c r="E143" s="125"/>
      <c r="F143" s="125"/>
      <c r="H143" s="125"/>
      <c r="J143" s="125"/>
    </row>
    <row r="144">
      <c r="D144" s="125"/>
      <c r="E144" s="125"/>
      <c r="F144" s="125"/>
      <c r="H144" s="125"/>
      <c r="J144" s="125"/>
    </row>
    <row r="145">
      <c r="D145" s="125"/>
      <c r="E145" s="125"/>
      <c r="F145" s="125"/>
      <c r="H145" s="125"/>
      <c r="J145" s="125"/>
    </row>
    <row r="146">
      <c r="D146" s="125"/>
      <c r="E146" s="125"/>
      <c r="F146" s="125"/>
      <c r="H146" s="125"/>
      <c r="J146" s="125"/>
    </row>
    <row r="147">
      <c r="D147" s="125"/>
      <c r="E147" s="125"/>
      <c r="F147" s="125"/>
      <c r="H147" s="125"/>
      <c r="J147" s="125"/>
    </row>
    <row r="148">
      <c r="D148" s="125"/>
      <c r="E148" s="125"/>
      <c r="F148" s="125"/>
      <c r="H148" s="125"/>
      <c r="J148" s="125"/>
    </row>
    <row r="149">
      <c r="D149" s="125"/>
      <c r="E149" s="125"/>
      <c r="F149" s="125"/>
      <c r="H149" s="125"/>
      <c r="J149" s="125"/>
    </row>
    <row r="150">
      <c r="D150" s="125"/>
      <c r="E150" s="125"/>
      <c r="F150" s="125"/>
      <c r="H150" s="125"/>
      <c r="J150" s="125"/>
    </row>
    <row r="151">
      <c r="D151" s="125"/>
      <c r="E151" s="125"/>
      <c r="F151" s="125"/>
      <c r="H151" s="125"/>
      <c r="J151" s="125"/>
    </row>
    <row r="152">
      <c r="D152" s="125"/>
      <c r="E152" s="125"/>
      <c r="F152" s="125"/>
      <c r="H152" s="125"/>
      <c r="J152" s="125"/>
    </row>
    <row r="153">
      <c r="D153" s="125"/>
      <c r="E153" s="125"/>
      <c r="F153" s="125"/>
      <c r="H153" s="125"/>
      <c r="J153" s="125"/>
    </row>
    <row r="154">
      <c r="D154" s="125"/>
      <c r="E154" s="125"/>
      <c r="F154" s="125"/>
      <c r="H154" s="125"/>
      <c r="J154" s="125"/>
    </row>
    <row r="155">
      <c r="D155" s="125"/>
      <c r="E155" s="125"/>
      <c r="F155" s="125"/>
      <c r="H155" s="125"/>
      <c r="J155" s="125"/>
    </row>
    <row r="156">
      <c r="D156" s="125"/>
      <c r="E156" s="125"/>
      <c r="F156" s="125"/>
      <c r="H156" s="125"/>
      <c r="J156" s="125"/>
    </row>
    <row r="157">
      <c r="D157" s="125"/>
      <c r="E157" s="125"/>
      <c r="F157" s="125"/>
      <c r="H157" s="125"/>
      <c r="J157" s="125"/>
    </row>
    <row r="158">
      <c r="D158" s="125"/>
      <c r="E158" s="125"/>
      <c r="F158" s="125"/>
      <c r="H158" s="125"/>
      <c r="J158" s="125"/>
    </row>
    <row r="159">
      <c r="D159" s="125"/>
      <c r="E159" s="125"/>
      <c r="F159" s="125"/>
      <c r="H159" s="125"/>
      <c r="J159" s="125"/>
    </row>
    <row r="160">
      <c r="D160" s="125"/>
      <c r="E160" s="125"/>
      <c r="F160" s="125"/>
      <c r="H160" s="125"/>
      <c r="J160" s="125"/>
    </row>
    <row r="161">
      <c r="D161" s="125"/>
      <c r="E161" s="125"/>
      <c r="F161" s="125"/>
      <c r="H161" s="125"/>
      <c r="J161" s="125"/>
    </row>
    <row r="162">
      <c r="D162" s="125"/>
      <c r="E162" s="125"/>
      <c r="F162" s="125"/>
      <c r="H162" s="125"/>
      <c r="J162" s="125"/>
    </row>
    <row r="163">
      <c r="D163" s="125"/>
      <c r="E163" s="125"/>
      <c r="F163" s="125"/>
      <c r="H163" s="125"/>
      <c r="J163" s="125"/>
    </row>
    <row r="164">
      <c r="D164" s="125"/>
      <c r="E164" s="125"/>
      <c r="F164" s="125"/>
      <c r="H164" s="125"/>
      <c r="J164" s="125"/>
    </row>
    <row r="165">
      <c r="D165" s="125"/>
      <c r="E165" s="125"/>
      <c r="F165" s="125"/>
      <c r="H165" s="125"/>
      <c r="J165" s="125"/>
    </row>
    <row r="166">
      <c r="D166" s="125"/>
      <c r="E166" s="125"/>
      <c r="F166" s="125"/>
      <c r="H166" s="125"/>
      <c r="J166" s="125"/>
    </row>
    <row r="167">
      <c r="D167" s="125"/>
      <c r="E167" s="125"/>
      <c r="F167" s="125"/>
      <c r="H167" s="125"/>
      <c r="J167" s="125"/>
    </row>
    <row r="168">
      <c r="D168" s="125"/>
      <c r="E168" s="125"/>
      <c r="F168" s="125"/>
      <c r="H168" s="125"/>
      <c r="J168" s="125"/>
    </row>
    <row r="169">
      <c r="D169" s="125"/>
      <c r="E169" s="125"/>
      <c r="F169" s="125"/>
      <c r="H169" s="125"/>
      <c r="J169" s="125"/>
    </row>
    <row r="170">
      <c r="D170" s="125"/>
      <c r="E170" s="125"/>
      <c r="F170" s="125"/>
      <c r="H170" s="125"/>
      <c r="J170" s="125"/>
    </row>
    <row r="171">
      <c r="D171" s="125"/>
      <c r="E171" s="125"/>
      <c r="F171" s="125"/>
      <c r="H171" s="125"/>
      <c r="J171" s="125"/>
    </row>
    <row r="172">
      <c r="D172" s="125"/>
      <c r="E172" s="125"/>
      <c r="F172" s="125"/>
      <c r="H172" s="125"/>
      <c r="J172" s="125"/>
    </row>
    <row r="173">
      <c r="D173" s="125"/>
      <c r="E173" s="125"/>
      <c r="F173" s="125"/>
      <c r="H173" s="125"/>
      <c r="J173" s="125"/>
    </row>
    <row r="174">
      <c r="D174" s="125"/>
      <c r="E174" s="125"/>
      <c r="F174" s="125"/>
      <c r="H174" s="125"/>
      <c r="J174" s="125"/>
    </row>
    <row r="175">
      <c r="D175" s="125"/>
      <c r="E175" s="125"/>
      <c r="F175" s="125"/>
      <c r="H175" s="125"/>
      <c r="J175" s="125"/>
    </row>
    <row r="176">
      <c r="D176" s="125"/>
      <c r="E176" s="125"/>
      <c r="F176" s="125"/>
      <c r="H176" s="125"/>
      <c r="J176" s="125"/>
    </row>
    <row r="177">
      <c r="D177" s="125"/>
      <c r="E177" s="125"/>
      <c r="F177" s="125"/>
      <c r="H177" s="125"/>
      <c r="J177" s="125"/>
    </row>
    <row r="178">
      <c r="D178" s="125"/>
      <c r="E178" s="125"/>
      <c r="F178" s="125"/>
      <c r="H178" s="125"/>
      <c r="J178" s="125"/>
    </row>
    <row r="179">
      <c r="D179" s="125"/>
      <c r="E179" s="125"/>
      <c r="F179" s="125"/>
      <c r="H179" s="125"/>
      <c r="J179" s="125"/>
    </row>
    <row r="180">
      <c r="D180" s="125"/>
      <c r="E180" s="125"/>
      <c r="F180" s="125"/>
      <c r="H180" s="125"/>
      <c r="J180" s="125"/>
    </row>
    <row r="181">
      <c r="D181" s="125"/>
      <c r="E181" s="125"/>
      <c r="F181" s="125"/>
      <c r="H181" s="125"/>
      <c r="J181" s="125"/>
    </row>
    <row r="182">
      <c r="D182" s="125"/>
      <c r="E182" s="125"/>
      <c r="F182" s="125"/>
      <c r="H182" s="125"/>
      <c r="J182" s="125"/>
    </row>
    <row r="183">
      <c r="D183" s="125"/>
      <c r="E183" s="125"/>
      <c r="F183" s="125"/>
      <c r="H183" s="125"/>
      <c r="J183" s="125"/>
    </row>
    <row r="184">
      <c r="D184" s="125"/>
      <c r="E184" s="125"/>
      <c r="F184" s="125"/>
      <c r="H184" s="125"/>
      <c r="J184" s="125"/>
    </row>
    <row r="185">
      <c r="D185" s="125"/>
      <c r="E185" s="125"/>
      <c r="F185" s="125"/>
      <c r="H185" s="125"/>
      <c r="J185" s="125"/>
    </row>
    <row r="186">
      <c r="D186" s="125"/>
      <c r="E186" s="125"/>
      <c r="F186" s="125"/>
      <c r="H186" s="125"/>
      <c r="J186" s="125"/>
    </row>
    <row r="187">
      <c r="D187" s="125"/>
      <c r="E187" s="125"/>
      <c r="F187" s="125"/>
      <c r="H187" s="125"/>
      <c r="J187" s="125"/>
    </row>
    <row r="188">
      <c r="D188" s="125"/>
      <c r="E188" s="125"/>
      <c r="F188" s="125"/>
      <c r="H188" s="125"/>
      <c r="J188" s="125"/>
    </row>
    <row r="189">
      <c r="D189" s="125"/>
      <c r="E189" s="125"/>
      <c r="F189" s="125"/>
      <c r="H189" s="125"/>
      <c r="J189" s="125"/>
    </row>
    <row r="190">
      <c r="D190" s="125"/>
      <c r="E190" s="125"/>
      <c r="F190" s="125"/>
      <c r="H190" s="125"/>
      <c r="J190" s="125"/>
    </row>
    <row r="191">
      <c r="D191" s="125"/>
      <c r="E191" s="125"/>
      <c r="F191" s="125"/>
      <c r="H191" s="125"/>
      <c r="J191" s="125"/>
    </row>
    <row r="192">
      <c r="D192" s="125"/>
      <c r="E192" s="125"/>
      <c r="F192" s="125"/>
      <c r="H192" s="125"/>
      <c r="J192" s="125"/>
    </row>
    <row r="193">
      <c r="D193" s="125"/>
      <c r="E193" s="125"/>
      <c r="F193" s="125"/>
      <c r="H193" s="125"/>
      <c r="J193" s="125"/>
    </row>
    <row r="194">
      <c r="D194" s="125"/>
      <c r="E194" s="125"/>
      <c r="F194" s="125"/>
      <c r="H194" s="125"/>
      <c r="J194" s="125"/>
    </row>
    <row r="195">
      <c r="D195" s="125"/>
      <c r="E195" s="125"/>
      <c r="F195" s="125"/>
      <c r="H195" s="125"/>
      <c r="J195" s="125"/>
    </row>
    <row r="196">
      <c r="D196" s="125"/>
      <c r="E196" s="125"/>
      <c r="F196" s="125"/>
      <c r="H196" s="125"/>
      <c r="J196" s="125"/>
    </row>
    <row r="197">
      <c r="D197" s="125"/>
      <c r="E197" s="125"/>
      <c r="F197" s="125"/>
      <c r="H197" s="125"/>
      <c r="J197" s="125"/>
    </row>
    <row r="198">
      <c r="D198" s="125"/>
      <c r="E198" s="125"/>
      <c r="F198" s="125"/>
      <c r="H198" s="125"/>
      <c r="J198" s="125"/>
    </row>
    <row r="199">
      <c r="D199" s="125"/>
      <c r="E199" s="125"/>
      <c r="F199" s="125"/>
      <c r="H199" s="125"/>
      <c r="J199" s="125"/>
    </row>
    <row r="200">
      <c r="D200" s="125"/>
      <c r="E200" s="125"/>
      <c r="F200" s="125"/>
      <c r="H200" s="125"/>
      <c r="J200" s="125"/>
    </row>
    <row r="201">
      <c r="D201" s="125"/>
      <c r="E201" s="125"/>
      <c r="F201" s="125"/>
      <c r="H201" s="125"/>
      <c r="J201" s="125"/>
    </row>
    <row r="202">
      <c r="D202" s="125"/>
      <c r="E202" s="125"/>
      <c r="F202" s="125"/>
      <c r="H202" s="125"/>
      <c r="J202" s="125"/>
    </row>
    <row r="203">
      <c r="D203" s="125"/>
      <c r="E203" s="125"/>
      <c r="F203" s="125"/>
      <c r="H203" s="125"/>
      <c r="J203" s="125"/>
    </row>
    <row r="204">
      <c r="D204" s="125"/>
      <c r="E204" s="125"/>
      <c r="F204" s="125"/>
      <c r="H204" s="125"/>
      <c r="J204" s="125"/>
    </row>
    <row r="205">
      <c r="D205" s="125"/>
      <c r="E205" s="125"/>
      <c r="F205" s="125"/>
      <c r="H205" s="125"/>
      <c r="J205" s="125"/>
    </row>
    <row r="206">
      <c r="D206" s="125"/>
      <c r="E206" s="125"/>
      <c r="F206" s="125"/>
      <c r="H206" s="125"/>
      <c r="J206" s="125"/>
    </row>
    <row r="207">
      <c r="D207" s="125"/>
      <c r="E207" s="125"/>
      <c r="F207" s="125"/>
      <c r="H207" s="125"/>
      <c r="J207" s="125"/>
    </row>
    <row r="208">
      <c r="D208" s="125"/>
      <c r="E208" s="125"/>
      <c r="F208" s="125"/>
      <c r="H208" s="125"/>
      <c r="J208" s="125"/>
    </row>
    <row r="209">
      <c r="D209" s="125"/>
      <c r="E209" s="125"/>
      <c r="F209" s="125"/>
      <c r="H209" s="125"/>
      <c r="J209" s="125"/>
    </row>
    <row r="210">
      <c r="D210" s="125"/>
      <c r="E210" s="125"/>
      <c r="F210" s="125"/>
      <c r="H210" s="125"/>
      <c r="J210" s="125"/>
    </row>
    <row r="211">
      <c r="D211" s="125"/>
      <c r="E211" s="125"/>
      <c r="F211" s="125"/>
      <c r="H211" s="125"/>
      <c r="J211" s="125"/>
    </row>
    <row r="212">
      <c r="D212" s="125"/>
      <c r="E212" s="125"/>
      <c r="F212" s="125"/>
      <c r="H212" s="125"/>
      <c r="J212" s="125"/>
    </row>
    <row r="213">
      <c r="D213" s="125"/>
      <c r="E213" s="125"/>
      <c r="F213" s="125"/>
      <c r="H213" s="125"/>
      <c r="J213" s="125"/>
    </row>
    <row r="214">
      <c r="D214" s="125"/>
      <c r="E214" s="125"/>
      <c r="F214" s="125"/>
      <c r="H214" s="125"/>
      <c r="J214" s="125"/>
    </row>
    <row r="215">
      <c r="D215" s="125"/>
      <c r="E215" s="125"/>
      <c r="F215" s="125"/>
      <c r="H215" s="125"/>
      <c r="J215" s="125"/>
    </row>
    <row r="216">
      <c r="D216" s="125"/>
      <c r="E216" s="125"/>
      <c r="F216" s="125"/>
      <c r="H216" s="125"/>
      <c r="J216" s="125"/>
    </row>
    <row r="217">
      <c r="D217" s="125"/>
      <c r="E217" s="125"/>
      <c r="F217" s="125"/>
      <c r="H217" s="125"/>
      <c r="J217" s="125"/>
    </row>
    <row r="218">
      <c r="D218" s="125"/>
      <c r="E218" s="125"/>
      <c r="F218" s="125"/>
      <c r="H218" s="125"/>
      <c r="J218" s="125"/>
    </row>
    <row r="219">
      <c r="D219" s="125"/>
      <c r="E219" s="125"/>
      <c r="F219" s="125"/>
      <c r="H219" s="125"/>
      <c r="J219" s="125"/>
    </row>
    <row r="220">
      <c r="D220" s="125"/>
      <c r="E220" s="125"/>
      <c r="F220" s="125"/>
      <c r="H220" s="125"/>
      <c r="J220" s="125"/>
    </row>
    <row r="221">
      <c r="D221" s="125"/>
      <c r="E221" s="125"/>
      <c r="F221" s="125"/>
      <c r="H221" s="125"/>
      <c r="J221" s="125"/>
    </row>
    <row r="222">
      <c r="D222" s="125"/>
      <c r="E222" s="125"/>
      <c r="F222" s="125"/>
      <c r="H222" s="125"/>
      <c r="J222" s="125"/>
    </row>
    <row r="223">
      <c r="D223" s="125"/>
      <c r="E223" s="125"/>
      <c r="F223" s="125"/>
      <c r="H223" s="125"/>
      <c r="J223" s="125"/>
    </row>
    <row r="224">
      <c r="D224" s="125"/>
      <c r="E224" s="125"/>
      <c r="F224" s="125"/>
      <c r="H224" s="125"/>
      <c r="J224" s="125"/>
    </row>
    <row r="225">
      <c r="D225" s="125"/>
      <c r="E225" s="125"/>
      <c r="F225" s="125"/>
      <c r="H225" s="125"/>
      <c r="J225" s="125"/>
    </row>
    <row r="226">
      <c r="D226" s="125"/>
      <c r="E226" s="125"/>
      <c r="F226" s="125"/>
      <c r="H226" s="125"/>
      <c r="J226" s="125"/>
    </row>
    <row r="227">
      <c r="D227" s="125"/>
      <c r="E227" s="125"/>
      <c r="F227" s="125"/>
      <c r="H227" s="125"/>
      <c r="J227" s="125"/>
    </row>
    <row r="228">
      <c r="D228" s="125"/>
      <c r="E228" s="125"/>
      <c r="F228" s="125"/>
      <c r="H228" s="125"/>
      <c r="J228" s="125"/>
    </row>
    <row r="229">
      <c r="D229" s="125"/>
      <c r="E229" s="125"/>
      <c r="F229" s="125"/>
      <c r="H229" s="125"/>
      <c r="J229" s="125"/>
    </row>
    <row r="230">
      <c r="D230" s="125"/>
      <c r="E230" s="125"/>
      <c r="F230" s="125"/>
      <c r="H230" s="125"/>
      <c r="J230" s="125"/>
    </row>
    <row r="231">
      <c r="D231" s="125"/>
      <c r="E231" s="125"/>
      <c r="F231" s="125"/>
      <c r="H231" s="125"/>
      <c r="J231" s="125"/>
    </row>
    <row r="232">
      <c r="D232" s="125"/>
      <c r="E232" s="125"/>
      <c r="F232" s="125"/>
      <c r="H232" s="125"/>
      <c r="J232" s="125"/>
    </row>
    <row r="233">
      <c r="D233" s="125"/>
      <c r="E233" s="125"/>
      <c r="F233" s="125"/>
      <c r="H233" s="125"/>
      <c r="J233" s="125"/>
    </row>
    <row r="234">
      <c r="D234" s="125"/>
      <c r="E234" s="125"/>
      <c r="F234" s="125"/>
      <c r="H234" s="125"/>
      <c r="J234" s="125"/>
    </row>
    <row r="235">
      <c r="D235" s="125"/>
      <c r="E235" s="125"/>
      <c r="F235" s="125"/>
      <c r="H235" s="125"/>
      <c r="J235" s="125"/>
    </row>
    <row r="236">
      <c r="D236" s="125"/>
      <c r="E236" s="125"/>
      <c r="F236" s="125"/>
      <c r="H236" s="125"/>
      <c r="J236" s="125"/>
    </row>
    <row r="237">
      <c r="D237" s="125"/>
      <c r="E237" s="125"/>
      <c r="F237" s="125"/>
      <c r="H237" s="125"/>
      <c r="J237" s="125"/>
    </row>
    <row r="238">
      <c r="D238" s="125"/>
      <c r="E238" s="125"/>
      <c r="F238" s="125"/>
      <c r="H238" s="125"/>
      <c r="J238" s="125"/>
    </row>
    <row r="239">
      <c r="D239" s="125"/>
      <c r="E239" s="125"/>
      <c r="F239" s="125"/>
      <c r="H239" s="125"/>
      <c r="J239" s="125"/>
    </row>
    <row r="240">
      <c r="D240" s="125"/>
      <c r="E240" s="125"/>
      <c r="F240" s="125"/>
      <c r="H240" s="125"/>
      <c r="J240" s="125"/>
    </row>
    <row r="241">
      <c r="D241" s="125"/>
      <c r="E241" s="125"/>
      <c r="F241" s="125"/>
      <c r="H241" s="125"/>
      <c r="J241" s="125"/>
    </row>
    <row r="242">
      <c r="D242" s="125"/>
      <c r="E242" s="125"/>
      <c r="F242" s="125"/>
      <c r="H242" s="125"/>
      <c r="J242" s="125"/>
    </row>
    <row r="243">
      <c r="D243" s="125"/>
      <c r="E243" s="125"/>
      <c r="F243" s="125"/>
      <c r="H243" s="125"/>
      <c r="J243" s="125"/>
    </row>
    <row r="244">
      <c r="D244" s="125"/>
      <c r="E244" s="125"/>
      <c r="F244" s="125"/>
      <c r="H244" s="125"/>
      <c r="J244" s="125"/>
    </row>
    <row r="245">
      <c r="D245" s="125"/>
      <c r="E245" s="125"/>
      <c r="F245" s="125"/>
      <c r="H245" s="125"/>
      <c r="J245" s="125"/>
    </row>
    <row r="246">
      <c r="D246" s="125"/>
      <c r="E246" s="125"/>
      <c r="F246" s="125"/>
      <c r="H246" s="125"/>
      <c r="J246" s="125"/>
    </row>
    <row r="247">
      <c r="D247" s="125"/>
      <c r="E247" s="125"/>
      <c r="F247" s="125"/>
      <c r="H247" s="125"/>
      <c r="J247" s="125"/>
    </row>
    <row r="248">
      <c r="D248" s="125"/>
      <c r="E248" s="125"/>
      <c r="F248" s="125"/>
      <c r="H248" s="125"/>
      <c r="J248" s="125"/>
    </row>
    <row r="249">
      <c r="D249" s="125"/>
      <c r="E249" s="125"/>
      <c r="F249" s="125"/>
      <c r="H249" s="125"/>
      <c r="J249" s="125"/>
    </row>
    <row r="250">
      <c r="D250" s="125"/>
      <c r="E250" s="125"/>
      <c r="F250" s="125"/>
      <c r="H250" s="125"/>
      <c r="J250" s="125"/>
    </row>
    <row r="251">
      <c r="D251" s="125"/>
      <c r="E251" s="125"/>
      <c r="F251" s="125"/>
      <c r="H251" s="125"/>
      <c r="J251" s="125"/>
    </row>
    <row r="252">
      <c r="D252" s="125"/>
      <c r="E252" s="125"/>
      <c r="F252" s="125"/>
      <c r="H252" s="125"/>
      <c r="J252" s="125"/>
    </row>
    <row r="253">
      <c r="D253" s="125"/>
      <c r="E253" s="125"/>
      <c r="F253" s="125"/>
      <c r="H253" s="125"/>
      <c r="J253" s="125"/>
    </row>
    <row r="254">
      <c r="D254" s="125"/>
      <c r="E254" s="125"/>
      <c r="F254" s="125"/>
      <c r="H254" s="125"/>
      <c r="J254" s="125"/>
    </row>
    <row r="255">
      <c r="D255" s="125"/>
      <c r="E255" s="125"/>
      <c r="F255" s="125"/>
      <c r="H255" s="125"/>
      <c r="J255" s="125"/>
    </row>
    <row r="256">
      <c r="D256" s="125"/>
      <c r="E256" s="125"/>
      <c r="F256" s="125"/>
      <c r="H256" s="125"/>
      <c r="J256" s="125"/>
    </row>
    <row r="257">
      <c r="D257" s="125"/>
      <c r="E257" s="125"/>
      <c r="F257" s="125"/>
      <c r="H257" s="125"/>
      <c r="J257" s="125"/>
    </row>
    <row r="258">
      <c r="D258" s="125"/>
      <c r="E258" s="125"/>
      <c r="F258" s="125"/>
      <c r="H258" s="125"/>
      <c r="J258" s="125"/>
    </row>
    <row r="259">
      <c r="D259" s="125"/>
      <c r="E259" s="125"/>
      <c r="F259" s="125"/>
      <c r="H259" s="125"/>
      <c r="J259" s="125"/>
    </row>
    <row r="260">
      <c r="D260" s="125"/>
      <c r="E260" s="125"/>
      <c r="F260" s="125"/>
      <c r="H260" s="125"/>
      <c r="J260" s="125"/>
    </row>
    <row r="261">
      <c r="D261" s="125"/>
      <c r="E261" s="125"/>
      <c r="F261" s="125"/>
      <c r="H261" s="125"/>
      <c r="J261" s="125"/>
    </row>
    <row r="262">
      <c r="D262" s="125"/>
      <c r="E262" s="125"/>
      <c r="F262" s="125"/>
      <c r="H262" s="125"/>
      <c r="J262" s="125"/>
    </row>
    <row r="263">
      <c r="D263" s="125"/>
      <c r="E263" s="125"/>
      <c r="F263" s="125"/>
      <c r="H263" s="125"/>
      <c r="J263" s="125"/>
    </row>
    <row r="264">
      <c r="D264" s="125"/>
      <c r="E264" s="125"/>
      <c r="F264" s="125"/>
      <c r="H264" s="125"/>
      <c r="J264" s="125"/>
    </row>
    <row r="265">
      <c r="D265" s="125"/>
      <c r="E265" s="125"/>
      <c r="F265" s="125"/>
      <c r="H265" s="125"/>
      <c r="J265" s="125"/>
    </row>
    <row r="266">
      <c r="D266" s="125"/>
      <c r="E266" s="125"/>
      <c r="F266" s="125"/>
      <c r="H266" s="125"/>
      <c r="J266" s="125"/>
    </row>
    <row r="267">
      <c r="D267" s="125"/>
      <c r="E267" s="125"/>
      <c r="F267" s="125"/>
      <c r="H267" s="125"/>
      <c r="J267" s="125"/>
    </row>
    <row r="268">
      <c r="D268" s="125"/>
      <c r="E268" s="125"/>
      <c r="F268" s="125"/>
      <c r="H268" s="125"/>
      <c r="J268" s="125"/>
    </row>
    <row r="269">
      <c r="D269" s="125"/>
      <c r="E269" s="125"/>
      <c r="F269" s="125"/>
      <c r="H269" s="125"/>
      <c r="J269" s="125"/>
    </row>
    <row r="270">
      <c r="D270" s="125"/>
      <c r="E270" s="125"/>
      <c r="F270" s="125"/>
      <c r="H270" s="125"/>
      <c r="J270" s="125"/>
    </row>
    <row r="271">
      <c r="D271" s="125"/>
      <c r="E271" s="125"/>
      <c r="F271" s="125"/>
      <c r="H271" s="125"/>
      <c r="J271" s="125"/>
    </row>
    <row r="272">
      <c r="D272" s="125"/>
      <c r="E272" s="125"/>
      <c r="F272" s="125"/>
      <c r="H272" s="125"/>
      <c r="J272" s="125"/>
    </row>
    <row r="273">
      <c r="D273" s="125"/>
      <c r="E273" s="125"/>
      <c r="F273" s="125"/>
      <c r="H273" s="125"/>
      <c r="J273" s="125"/>
    </row>
    <row r="274">
      <c r="D274" s="125"/>
      <c r="E274" s="125"/>
      <c r="F274" s="125"/>
      <c r="H274" s="125"/>
      <c r="J274" s="125"/>
    </row>
    <row r="275">
      <c r="D275" s="125"/>
      <c r="E275" s="125"/>
      <c r="F275" s="125"/>
      <c r="H275" s="125"/>
      <c r="J275" s="125"/>
    </row>
    <row r="276">
      <c r="D276" s="125"/>
      <c r="E276" s="125"/>
      <c r="F276" s="125"/>
      <c r="H276" s="125"/>
      <c r="J276" s="125"/>
    </row>
    <row r="277">
      <c r="D277" s="125"/>
      <c r="E277" s="125"/>
      <c r="F277" s="125"/>
      <c r="H277" s="125"/>
      <c r="J277" s="125"/>
    </row>
    <row r="278">
      <c r="D278" s="125"/>
      <c r="E278" s="125"/>
      <c r="F278" s="125"/>
      <c r="H278" s="125"/>
      <c r="J278" s="125"/>
    </row>
    <row r="279">
      <c r="D279" s="125"/>
      <c r="E279" s="125"/>
      <c r="F279" s="125"/>
      <c r="H279" s="125"/>
      <c r="J279" s="125"/>
    </row>
    <row r="280">
      <c r="D280" s="125"/>
      <c r="E280" s="125"/>
      <c r="F280" s="125"/>
      <c r="H280" s="125"/>
      <c r="J280" s="125"/>
    </row>
    <row r="281">
      <c r="D281" s="125"/>
      <c r="E281" s="125"/>
      <c r="F281" s="125"/>
      <c r="H281" s="125"/>
      <c r="J281" s="125"/>
    </row>
    <row r="282">
      <c r="D282" s="125"/>
      <c r="E282" s="125"/>
      <c r="F282" s="125"/>
      <c r="H282" s="125"/>
      <c r="J282" s="125"/>
    </row>
    <row r="283">
      <c r="D283" s="125"/>
      <c r="E283" s="125"/>
      <c r="F283" s="125"/>
      <c r="H283" s="125"/>
      <c r="J283" s="125"/>
    </row>
    <row r="284">
      <c r="D284" s="125"/>
      <c r="E284" s="125"/>
      <c r="F284" s="125"/>
      <c r="H284" s="125"/>
      <c r="J284" s="125"/>
    </row>
    <row r="285">
      <c r="D285" s="125"/>
      <c r="E285" s="125"/>
      <c r="F285" s="125"/>
      <c r="H285" s="125"/>
      <c r="J285" s="125"/>
    </row>
    <row r="286">
      <c r="D286" s="125"/>
      <c r="E286" s="125"/>
      <c r="F286" s="125"/>
      <c r="H286" s="125"/>
      <c r="J286" s="125"/>
    </row>
    <row r="287">
      <c r="D287" s="125"/>
      <c r="E287" s="125"/>
      <c r="F287" s="125"/>
      <c r="H287" s="125"/>
      <c r="J287" s="125"/>
    </row>
    <row r="288">
      <c r="D288" s="125"/>
      <c r="E288" s="125"/>
      <c r="F288" s="125"/>
      <c r="H288" s="125"/>
      <c r="J288" s="125"/>
    </row>
    <row r="289">
      <c r="D289" s="125"/>
      <c r="E289" s="125"/>
      <c r="F289" s="125"/>
      <c r="H289" s="125"/>
      <c r="J289" s="125"/>
    </row>
    <row r="290">
      <c r="D290" s="125"/>
      <c r="E290" s="125"/>
      <c r="F290" s="125"/>
      <c r="H290" s="125"/>
      <c r="J290" s="125"/>
    </row>
    <row r="291">
      <c r="D291" s="125"/>
      <c r="E291" s="125"/>
      <c r="F291" s="125"/>
      <c r="H291" s="125"/>
      <c r="J291" s="125"/>
    </row>
    <row r="292">
      <c r="D292" s="125"/>
      <c r="E292" s="125"/>
      <c r="F292" s="125"/>
      <c r="H292" s="125"/>
      <c r="J292" s="125"/>
    </row>
    <row r="293">
      <c r="D293" s="125"/>
      <c r="E293" s="125"/>
      <c r="F293" s="125"/>
      <c r="H293" s="125"/>
      <c r="J293" s="125"/>
    </row>
    <row r="294">
      <c r="D294" s="125"/>
      <c r="E294" s="125"/>
      <c r="F294" s="125"/>
      <c r="H294" s="125"/>
      <c r="J294" s="125"/>
    </row>
    <row r="295">
      <c r="D295" s="125"/>
      <c r="E295" s="125"/>
      <c r="F295" s="125"/>
      <c r="H295" s="125"/>
      <c r="J295" s="125"/>
    </row>
    <row r="296">
      <c r="D296" s="125"/>
      <c r="E296" s="125"/>
      <c r="F296" s="125"/>
      <c r="H296" s="125"/>
      <c r="J296" s="125"/>
    </row>
    <row r="297">
      <c r="D297" s="125"/>
      <c r="E297" s="125"/>
      <c r="F297" s="125"/>
      <c r="H297" s="125"/>
      <c r="J297" s="125"/>
    </row>
    <row r="298">
      <c r="D298" s="125"/>
      <c r="E298" s="125"/>
      <c r="F298" s="125"/>
      <c r="H298" s="125"/>
      <c r="J298" s="125"/>
    </row>
    <row r="299">
      <c r="D299" s="125"/>
      <c r="E299" s="125"/>
      <c r="F299" s="125"/>
      <c r="H299" s="125"/>
      <c r="J299" s="125"/>
    </row>
    <row r="300">
      <c r="D300" s="125"/>
      <c r="E300" s="125"/>
      <c r="F300" s="125"/>
      <c r="H300" s="125"/>
      <c r="J300" s="125"/>
    </row>
    <row r="301">
      <c r="D301" s="125"/>
      <c r="E301" s="125"/>
      <c r="F301" s="125"/>
      <c r="H301" s="125"/>
      <c r="J301" s="125"/>
    </row>
    <row r="302">
      <c r="D302" s="125"/>
      <c r="E302" s="125"/>
      <c r="F302" s="125"/>
      <c r="H302" s="125"/>
      <c r="J302" s="125"/>
    </row>
    <row r="303">
      <c r="D303" s="125"/>
      <c r="E303" s="125"/>
      <c r="F303" s="125"/>
      <c r="H303" s="125"/>
      <c r="J303" s="125"/>
    </row>
    <row r="304">
      <c r="D304" s="125"/>
      <c r="E304" s="125"/>
      <c r="F304" s="125"/>
      <c r="H304" s="125"/>
      <c r="J304" s="125"/>
    </row>
    <row r="305">
      <c r="D305" s="125"/>
      <c r="E305" s="125"/>
      <c r="F305" s="125"/>
      <c r="H305" s="125"/>
      <c r="J305" s="125"/>
    </row>
    <row r="306">
      <c r="D306" s="125"/>
      <c r="E306" s="125"/>
      <c r="F306" s="125"/>
      <c r="H306" s="125"/>
      <c r="J306" s="125"/>
    </row>
    <row r="307">
      <c r="D307" s="125"/>
      <c r="E307" s="125"/>
      <c r="F307" s="125"/>
      <c r="H307" s="125"/>
      <c r="J307" s="125"/>
    </row>
    <row r="308">
      <c r="D308" s="125"/>
      <c r="E308" s="125"/>
      <c r="F308" s="125"/>
      <c r="H308" s="125"/>
      <c r="J308" s="125"/>
    </row>
    <row r="309">
      <c r="D309" s="125"/>
      <c r="E309" s="125"/>
      <c r="F309" s="125"/>
      <c r="H309" s="125"/>
      <c r="J309" s="125"/>
    </row>
    <row r="310">
      <c r="D310" s="125"/>
      <c r="E310" s="125"/>
      <c r="F310" s="125"/>
      <c r="H310" s="125"/>
      <c r="J310" s="125"/>
    </row>
    <row r="311">
      <c r="D311" s="125"/>
      <c r="E311" s="125"/>
      <c r="F311" s="125"/>
      <c r="H311" s="125"/>
      <c r="J311" s="125"/>
    </row>
    <row r="312">
      <c r="D312" s="125"/>
      <c r="E312" s="125"/>
      <c r="F312" s="125"/>
      <c r="H312" s="125"/>
      <c r="J312" s="125"/>
    </row>
    <row r="313">
      <c r="D313" s="125"/>
      <c r="E313" s="125"/>
      <c r="F313" s="125"/>
      <c r="H313" s="125"/>
      <c r="J313" s="125"/>
    </row>
    <row r="314">
      <c r="D314" s="125"/>
      <c r="E314" s="125"/>
      <c r="F314" s="125"/>
      <c r="H314" s="125"/>
      <c r="J314" s="125"/>
    </row>
    <row r="315">
      <c r="D315" s="125"/>
      <c r="E315" s="125"/>
      <c r="F315" s="125"/>
      <c r="H315" s="125"/>
      <c r="J315" s="125"/>
    </row>
    <row r="316">
      <c r="D316" s="125"/>
      <c r="E316" s="125"/>
      <c r="F316" s="125"/>
      <c r="H316" s="125"/>
      <c r="J316" s="125"/>
    </row>
    <row r="317">
      <c r="D317" s="125"/>
      <c r="E317" s="125"/>
      <c r="F317" s="125"/>
      <c r="H317" s="125"/>
      <c r="J317" s="125"/>
    </row>
    <row r="318">
      <c r="D318" s="125"/>
      <c r="E318" s="125"/>
      <c r="F318" s="125"/>
      <c r="H318" s="125"/>
      <c r="J318" s="125"/>
    </row>
    <row r="319">
      <c r="D319" s="125"/>
      <c r="E319" s="125"/>
      <c r="F319" s="125"/>
      <c r="H319" s="125"/>
      <c r="J319" s="125"/>
    </row>
    <row r="320">
      <c r="D320" s="125"/>
      <c r="E320" s="125"/>
      <c r="F320" s="125"/>
      <c r="H320" s="125"/>
      <c r="J320" s="125"/>
    </row>
    <row r="321">
      <c r="D321" s="125"/>
      <c r="E321" s="125"/>
      <c r="F321" s="125"/>
      <c r="H321" s="125"/>
      <c r="J321" s="125"/>
    </row>
    <row r="322">
      <c r="D322" s="125"/>
      <c r="E322" s="125"/>
      <c r="F322" s="125"/>
      <c r="H322" s="125"/>
      <c r="J322" s="125"/>
    </row>
    <row r="323">
      <c r="D323" s="125"/>
      <c r="E323" s="125"/>
      <c r="F323" s="125"/>
      <c r="H323" s="125"/>
      <c r="J323" s="125"/>
    </row>
    <row r="324">
      <c r="D324" s="125"/>
      <c r="E324" s="125"/>
      <c r="F324" s="125"/>
      <c r="H324" s="125"/>
      <c r="J324" s="125"/>
    </row>
    <row r="325">
      <c r="D325" s="125"/>
      <c r="E325" s="125"/>
      <c r="F325" s="125"/>
      <c r="H325" s="125"/>
      <c r="J325" s="125"/>
    </row>
    <row r="326">
      <c r="D326" s="125"/>
      <c r="E326" s="125"/>
      <c r="F326" s="125"/>
      <c r="H326" s="125"/>
      <c r="J326" s="125"/>
    </row>
    <row r="327">
      <c r="D327" s="125"/>
      <c r="E327" s="125"/>
      <c r="F327" s="125"/>
      <c r="H327" s="125"/>
      <c r="J327" s="125"/>
    </row>
    <row r="328">
      <c r="D328" s="125"/>
      <c r="E328" s="125"/>
      <c r="F328" s="125"/>
      <c r="H328" s="125"/>
      <c r="J328" s="125"/>
    </row>
    <row r="329">
      <c r="D329" s="125"/>
      <c r="E329" s="125"/>
      <c r="F329" s="125"/>
      <c r="H329" s="125"/>
      <c r="J329" s="125"/>
    </row>
    <row r="330">
      <c r="D330" s="125"/>
      <c r="E330" s="125"/>
      <c r="F330" s="125"/>
      <c r="H330" s="125"/>
      <c r="J330" s="125"/>
    </row>
    <row r="331">
      <c r="D331" s="125"/>
      <c r="E331" s="125"/>
      <c r="F331" s="125"/>
      <c r="H331" s="125"/>
      <c r="J331" s="125"/>
    </row>
    <row r="332">
      <c r="D332" s="125"/>
      <c r="E332" s="125"/>
      <c r="F332" s="125"/>
      <c r="H332" s="125"/>
      <c r="J332" s="125"/>
    </row>
    <row r="333">
      <c r="D333" s="125"/>
      <c r="E333" s="125"/>
      <c r="F333" s="125"/>
      <c r="H333" s="125"/>
      <c r="J333" s="125"/>
    </row>
    <row r="334">
      <c r="D334" s="125"/>
      <c r="E334" s="125"/>
      <c r="F334" s="125"/>
      <c r="H334" s="125"/>
      <c r="J334" s="125"/>
    </row>
    <row r="335">
      <c r="D335" s="125"/>
      <c r="E335" s="125"/>
      <c r="F335" s="125"/>
      <c r="H335" s="125"/>
      <c r="J335" s="125"/>
    </row>
    <row r="336">
      <c r="D336" s="125"/>
      <c r="E336" s="125"/>
      <c r="F336" s="125"/>
      <c r="H336" s="125"/>
      <c r="J336" s="125"/>
    </row>
    <row r="337">
      <c r="D337" s="125"/>
      <c r="E337" s="125"/>
      <c r="F337" s="125"/>
      <c r="H337" s="125"/>
      <c r="J337" s="125"/>
    </row>
    <row r="338">
      <c r="D338" s="125"/>
      <c r="E338" s="125"/>
      <c r="F338" s="125"/>
      <c r="H338" s="125"/>
      <c r="J338" s="125"/>
    </row>
    <row r="339">
      <c r="D339" s="125"/>
      <c r="E339" s="125"/>
      <c r="F339" s="125"/>
      <c r="H339" s="125"/>
      <c r="J339" s="125"/>
    </row>
    <row r="340">
      <c r="D340" s="125"/>
      <c r="E340" s="125"/>
      <c r="F340" s="125"/>
      <c r="H340" s="125"/>
      <c r="J340" s="125"/>
    </row>
    <row r="341">
      <c r="D341" s="125"/>
      <c r="E341" s="125"/>
      <c r="F341" s="125"/>
      <c r="H341" s="125"/>
      <c r="J341" s="125"/>
    </row>
    <row r="342">
      <c r="D342" s="125"/>
      <c r="E342" s="125"/>
      <c r="F342" s="125"/>
      <c r="H342" s="125"/>
      <c r="J342" s="125"/>
    </row>
    <row r="343">
      <c r="D343" s="125"/>
      <c r="E343" s="125"/>
      <c r="F343" s="125"/>
      <c r="H343" s="125"/>
      <c r="J343" s="125"/>
    </row>
    <row r="344">
      <c r="D344" s="125"/>
      <c r="E344" s="125"/>
      <c r="F344" s="125"/>
      <c r="H344" s="125"/>
      <c r="J344" s="125"/>
    </row>
    <row r="345">
      <c r="D345" s="125"/>
      <c r="E345" s="125"/>
      <c r="F345" s="125"/>
      <c r="H345" s="125"/>
      <c r="J345" s="125"/>
    </row>
    <row r="346">
      <c r="D346" s="125"/>
      <c r="E346" s="125"/>
      <c r="F346" s="125"/>
      <c r="H346" s="125"/>
      <c r="J346" s="125"/>
    </row>
    <row r="347">
      <c r="D347" s="125"/>
      <c r="E347" s="125"/>
      <c r="F347" s="125"/>
      <c r="H347" s="125"/>
      <c r="J347" s="125"/>
    </row>
    <row r="348">
      <c r="D348" s="125"/>
      <c r="E348" s="125"/>
      <c r="F348" s="125"/>
      <c r="H348" s="125"/>
      <c r="J348" s="125"/>
    </row>
    <row r="349">
      <c r="D349" s="125"/>
      <c r="E349" s="125"/>
      <c r="F349" s="125"/>
      <c r="H349" s="125"/>
      <c r="J349" s="125"/>
    </row>
    <row r="350">
      <c r="D350" s="125"/>
      <c r="E350" s="125"/>
      <c r="F350" s="125"/>
      <c r="H350" s="125"/>
      <c r="J350" s="125"/>
    </row>
    <row r="351">
      <c r="D351" s="125"/>
      <c r="E351" s="125"/>
      <c r="F351" s="125"/>
      <c r="H351" s="125"/>
      <c r="J351" s="125"/>
    </row>
    <row r="352">
      <c r="D352" s="125"/>
      <c r="E352" s="125"/>
      <c r="F352" s="125"/>
      <c r="H352" s="125"/>
      <c r="J352" s="125"/>
    </row>
    <row r="353">
      <c r="D353" s="125"/>
      <c r="E353" s="125"/>
      <c r="F353" s="125"/>
      <c r="H353" s="125"/>
      <c r="J353" s="125"/>
    </row>
    <row r="354">
      <c r="D354" s="125"/>
      <c r="E354" s="125"/>
      <c r="F354" s="125"/>
      <c r="H354" s="125"/>
      <c r="J354" s="125"/>
    </row>
    <row r="355">
      <c r="D355" s="125"/>
      <c r="E355" s="125"/>
      <c r="F355" s="125"/>
      <c r="H355" s="125"/>
      <c r="J355" s="125"/>
    </row>
    <row r="356">
      <c r="D356" s="125"/>
      <c r="E356" s="125"/>
      <c r="F356" s="125"/>
      <c r="H356" s="125"/>
      <c r="J356" s="125"/>
    </row>
    <row r="357">
      <c r="D357" s="125"/>
      <c r="E357" s="125"/>
      <c r="F357" s="125"/>
      <c r="H357" s="125"/>
      <c r="J357" s="125"/>
    </row>
    <row r="358">
      <c r="D358" s="125"/>
      <c r="E358" s="125"/>
      <c r="F358" s="125"/>
      <c r="H358" s="125"/>
      <c r="J358" s="125"/>
    </row>
    <row r="359">
      <c r="D359" s="125"/>
      <c r="E359" s="125"/>
      <c r="F359" s="125"/>
      <c r="H359" s="125"/>
      <c r="J359" s="125"/>
    </row>
    <row r="360">
      <c r="D360" s="125"/>
      <c r="E360" s="125"/>
      <c r="F360" s="125"/>
      <c r="H360" s="125"/>
      <c r="J360" s="125"/>
    </row>
    <row r="361">
      <c r="D361" s="125"/>
      <c r="E361" s="125"/>
      <c r="F361" s="125"/>
      <c r="H361" s="125"/>
      <c r="J361" s="125"/>
    </row>
    <row r="362">
      <c r="D362" s="125"/>
      <c r="E362" s="125"/>
      <c r="F362" s="125"/>
      <c r="H362" s="125"/>
      <c r="J362" s="125"/>
    </row>
    <row r="363">
      <c r="D363" s="125"/>
      <c r="E363" s="125"/>
      <c r="F363" s="125"/>
      <c r="H363" s="125"/>
      <c r="J363" s="125"/>
    </row>
    <row r="364">
      <c r="D364" s="125"/>
      <c r="E364" s="125"/>
      <c r="F364" s="125"/>
      <c r="H364" s="125"/>
      <c r="J364" s="125"/>
    </row>
    <row r="365">
      <c r="D365" s="125"/>
      <c r="E365" s="125"/>
      <c r="F365" s="125"/>
      <c r="H365" s="125"/>
      <c r="J365" s="125"/>
    </row>
    <row r="366">
      <c r="D366" s="125"/>
      <c r="E366" s="125"/>
      <c r="F366" s="125"/>
      <c r="H366" s="125"/>
      <c r="J366" s="125"/>
    </row>
    <row r="367">
      <c r="D367" s="125"/>
      <c r="E367" s="125"/>
      <c r="F367" s="125"/>
      <c r="H367" s="125"/>
      <c r="J367" s="125"/>
    </row>
    <row r="368">
      <c r="D368" s="125"/>
      <c r="E368" s="125"/>
      <c r="F368" s="125"/>
      <c r="H368" s="125"/>
      <c r="J368" s="125"/>
    </row>
    <row r="369">
      <c r="D369" s="125"/>
      <c r="E369" s="125"/>
      <c r="F369" s="125"/>
      <c r="H369" s="125"/>
      <c r="J369" s="125"/>
    </row>
    <row r="370">
      <c r="D370" s="125"/>
      <c r="E370" s="125"/>
      <c r="F370" s="125"/>
      <c r="H370" s="125"/>
      <c r="J370" s="125"/>
    </row>
    <row r="371">
      <c r="D371" s="125"/>
      <c r="E371" s="125"/>
      <c r="F371" s="125"/>
      <c r="H371" s="125"/>
      <c r="J371" s="125"/>
    </row>
    <row r="372">
      <c r="D372" s="125"/>
      <c r="E372" s="125"/>
      <c r="F372" s="125"/>
      <c r="H372" s="125"/>
      <c r="J372" s="125"/>
    </row>
    <row r="373">
      <c r="D373" s="125"/>
      <c r="E373" s="125"/>
      <c r="F373" s="125"/>
      <c r="H373" s="125"/>
      <c r="J373" s="125"/>
    </row>
    <row r="374">
      <c r="D374" s="125"/>
      <c r="E374" s="125"/>
      <c r="F374" s="125"/>
      <c r="H374" s="125"/>
      <c r="J374" s="125"/>
    </row>
    <row r="375">
      <c r="D375" s="125"/>
      <c r="E375" s="125"/>
      <c r="F375" s="125"/>
      <c r="H375" s="125"/>
      <c r="J375" s="125"/>
    </row>
    <row r="376">
      <c r="D376" s="125"/>
      <c r="E376" s="125"/>
      <c r="F376" s="125"/>
      <c r="H376" s="125"/>
      <c r="J376" s="125"/>
    </row>
    <row r="377">
      <c r="D377" s="125"/>
      <c r="E377" s="125"/>
      <c r="F377" s="125"/>
      <c r="H377" s="125"/>
      <c r="J377" s="125"/>
    </row>
    <row r="378">
      <c r="D378" s="125"/>
      <c r="E378" s="125"/>
      <c r="F378" s="125"/>
      <c r="H378" s="125"/>
      <c r="J378" s="125"/>
    </row>
    <row r="379">
      <c r="D379" s="125"/>
      <c r="E379" s="125"/>
      <c r="F379" s="125"/>
      <c r="H379" s="125"/>
      <c r="J379" s="125"/>
    </row>
    <row r="380">
      <c r="D380" s="125"/>
      <c r="E380" s="125"/>
      <c r="F380" s="125"/>
      <c r="H380" s="125"/>
      <c r="J380" s="125"/>
    </row>
    <row r="381">
      <c r="D381" s="125"/>
      <c r="E381" s="125"/>
      <c r="F381" s="125"/>
      <c r="H381" s="125"/>
      <c r="J381" s="125"/>
    </row>
    <row r="382">
      <c r="D382" s="125"/>
      <c r="E382" s="125"/>
      <c r="F382" s="125"/>
      <c r="H382" s="125"/>
      <c r="J382" s="125"/>
    </row>
    <row r="383">
      <c r="D383" s="125"/>
      <c r="E383" s="125"/>
      <c r="F383" s="125"/>
      <c r="H383" s="125"/>
      <c r="J383" s="125"/>
    </row>
    <row r="384">
      <c r="D384" s="125"/>
      <c r="E384" s="125"/>
      <c r="F384" s="125"/>
      <c r="H384" s="125"/>
      <c r="J384" s="125"/>
    </row>
    <row r="385">
      <c r="D385" s="125"/>
      <c r="E385" s="125"/>
      <c r="F385" s="125"/>
      <c r="H385" s="125"/>
      <c r="J385" s="125"/>
    </row>
    <row r="386">
      <c r="D386" s="125"/>
      <c r="E386" s="125"/>
      <c r="F386" s="125"/>
      <c r="H386" s="125"/>
      <c r="J386" s="125"/>
    </row>
    <row r="387">
      <c r="D387" s="125"/>
      <c r="E387" s="125"/>
      <c r="F387" s="125"/>
      <c r="H387" s="125"/>
      <c r="J387" s="125"/>
    </row>
    <row r="388">
      <c r="D388" s="125"/>
      <c r="E388" s="125"/>
      <c r="F388" s="125"/>
      <c r="H388" s="125"/>
      <c r="J388" s="125"/>
    </row>
    <row r="389">
      <c r="D389" s="125"/>
      <c r="E389" s="125"/>
      <c r="F389" s="125"/>
      <c r="H389" s="125"/>
      <c r="J389" s="125"/>
    </row>
    <row r="390">
      <c r="D390" s="125"/>
      <c r="E390" s="125"/>
      <c r="F390" s="125"/>
      <c r="H390" s="125"/>
      <c r="J390" s="125"/>
    </row>
    <row r="391">
      <c r="D391" s="125"/>
      <c r="E391" s="125"/>
      <c r="F391" s="125"/>
      <c r="H391" s="125"/>
      <c r="J391" s="125"/>
    </row>
    <row r="392">
      <c r="D392" s="125"/>
      <c r="E392" s="125"/>
      <c r="F392" s="125"/>
      <c r="H392" s="125"/>
      <c r="J392" s="125"/>
    </row>
    <row r="393">
      <c r="D393" s="125"/>
      <c r="E393" s="125"/>
      <c r="F393" s="125"/>
      <c r="H393" s="125"/>
      <c r="J393" s="125"/>
    </row>
    <row r="394">
      <c r="D394" s="125"/>
      <c r="E394" s="125"/>
      <c r="F394" s="125"/>
      <c r="H394" s="125"/>
      <c r="J394" s="125"/>
    </row>
    <row r="395">
      <c r="D395" s="125"/>
      <c r="E395" s="125"/>
      <c r="F395" s="125"/>
      <c r="H395" s="125"/>
      <c r="J395" s="125"/>
    </row>
    <row r="396">
      <c r="D396" s="125"/>
      <c r="E396" s="125"/>
      <c r="F396" s="125"/>
      <c r="H396" s="125"/>
      <c r="J396" s="125"/>
    </row>
    <row r="397">
      <c r="D397" s="125"/>
      <c r="E397" s="125"/>
      <c r="F397" s="125"/>
      <c r="H397" s="125"/>
      <c r="J397" s="125"/>
    </row>
    <row r="398">
      <c r="D398" s="125"/>
      <c r="E398" s="125"/>
      <c r="F398" s="125"/>
      <c r="H398" s="125"/>
      <c r="J398" s="125"/>
    </row>
    <row r="399">
      <c r="D399" s="125"/>
      <c r="E399" s="125"/>
      <c r="F399" s="125"/>
      <c r="H399" s="125"/>
      <c r="J399" s="125"/>
    </row>
    <row r="400">
      <c r="D400" s="125"/>
      <c r="E400" s="125"/>
      <c r="F400" s="125"/>
      <c r="H400" s="125"/>
      <c r="J400" s="125"/>
    </row>
    <row r="401">
      <c r="D401" s="125"/>
      <c r="E401" s="125"/>
      <c r="F401" s="125"/>
      <c r="H401" s="125"/>
      <c r="J401" s="125"/>
    </row>
    <row r="402">
      <c r="D402" s="125"/>
      <c r="E402" s="125"/>
      <c r="F402" s="125"/>
      <c r="H402" s="125"/>
      <c r="J402" s="125"/>
    </row>
    <row r="403">
      <c r="D403" s="125"/>
      <c r="E403" s="125"/>
      <c r="F403" s="125"/>
      <c r="H403" s="125"/>
      <c r="J403" s="125"/>
    </row>
    <row r="404">
      <c r="D404" s="125"/>
      <c r="E404" s="125"/>
      <c r="F404" s="125"/>
      <c r="H404" s="125"/>
      <c r="J404" s="125"/>
    </row>
    <row r="405">
      <c r="D405" s="125"/>
      <c r="E405" s="125"/>
      <c r="F405" s="125"/>
      <c r="H405" s="125"/>
      <c r="J405" s="125"/>
    </row>
    <row r="406">
      <c r="D406" s="125"/>
      <c r="E406" s="125"/>
      <c r="F406" s="125"/>
      <c r="H406" s="125"/>
      <c r="J406" s="125"/>
    </row>
    <row r="407">
      <c r="D407" s="125"/>
      <c r="E407" s="125"/>
      <c r="F407" s="125"/>
      <c r="H407" s="125"/>
      <c r="J407" s="125"/>
    </row>
    <row r="408">
      <c r="D408" s="125"/>
      <c r="E408" s="125"/>
      <c r="F408" s="125"/>
      <c r="H408" s="125"/>
      <c r="J408" s="125"/>
    </row>
    <row r="409">
      <c r="D409" s="125"/>
      <c r="E409" s="125"/>
      <c r="F409" s="125"/>
      <c r="H409" s="125"/>
      <c r="J409" s="125"/>
    </row>
    <row r="410">
      <c r="D410" s="125"/>
      <c r="E410" s="125"/>
      <c r="F410" s="125"/>
      <c r="H410" s="125"/>
      <c r="J410" s="125"/>
    </row>
    <row r="411">
      <c r="D411" s="125"/>
      <c r="E411" s="125"/>
      <c r="F411" s="125"/>
      <c r="H411" s="125"/>
      <c r="J411" s="125"/>
    </row>
    <row r="412">
      <c r="D412" s="125"/>
      <c r="E412" s="125"/>
      <c r="F412" s="125"/>
      <c r="H412" s="125"/>
      <c r="J412" s="125"/>
    </row>
    <row r="413">
      <c r="D413" s="125"/>
      <c r="E413" s="125"/>
      <c r="F413" s="125"/>
      <c r="H413" s="125"/>
      <c r="J413" s="125"/>
    </row>
    <row r="414">
      <c r="D414" s="125"/>
      <c r="E414" s="125"/>
      <c r="F414" s="125"/>
      <c r="H414" s="125"/>
      <c r="J414" s="125"/>
    </row>
    <row r="415">
      <c r="D415" s="125"/>
      <c r="E415" s="125"/>
      <c r="F415" s="125"/>
      <c r="H415" s="125"/>
      <c r="J415" s="125"/>
    </row>
    <row r="416">
      <c r="D416" s="125"/>
      <c r="E416" s="125"/>
      <c r="F416" s="125"/>
      <c r="H416" s="125"/>
      <c r="J416" s="125"/>
    </row>
    <row r="417">
      <c r="D417" s="125"/>
      <c r="E417" s="125"/>
      <c r="F417" s="125"/>
      <c r="H417" s="125"/>
      <c r="J417" s="125"/>
    </row>
    <row r="418">
      <c r="D418" s="125"/>
      <c r="E418" s="125"/>
      <c r="F418" s="125"/>
      <c r="H418" s="125"/>
      <c r="J418" s="125"/>
    </row>
    <row r="419">
      <c r="D419" s="125"/>
      <c r="E419" s="125"/>
      <c r="F419" s="125"/>
      <c r="H419" s="125"/>
      <c r="J419" s="125"/>
    </row>
    <row r="420">
      <c r="D420" s="125"/>
      <c r="E420" s="125"/>
      <c r="F420" s="125"/>
      <c r="H420" s="125"/>
      <c r="J420" s="125"/>
    </row>
    <row r="421">
      <c r="D421" s="125"/>
      <c r="E421" s="125"/>
      <c r="F421" s="125"/>
      <c r="H421" s="125"/>
      <c r="J421" s="125"/>
    </row>
    <row r="422">
      <c r="D422" s="125"/>
      <c r="E422" s="125"/>
      <c r="F422" s="125"/>
      <c r="H422" s="125"/>
      <c r="J422" s="125"/>
    </row>
    <row r="423">
      <c r="D423" s="125"/>
      <c r="E423" s="125"/>
      <c r="F423" s="125"/>
      <c r="H423" s="125"/>
      <c r="J423" s="125"/>
    </row>
    <row r="424">
      <c r="D424" s="125"/>
      <c r="E424" s="125"/>
      <c r="F424" s="125"/>
      <c r="H424" s="125"/>
      <c r="J424" s="125"/>
    </row>
    <row r="425">
      <c r="D425" s="125"/>
      <c r="E425" s="125"/>
      <c r="F425" s="125"/>
      <c r="H425" s="125"/>
      <c r="J425" s="125"/>
    </row>
    <row r="426">
      <c r="D426" s="125"/>
      <c r="E426" s="125"/>
      <c r="F426" s="125"/>
      <c r="H426" s="125"/>
      <c r="J426" s="125"/>
    </row>
    <row r="427">
      <c r="D427" s="125"/>
      <c r="E427" s="125"/>
      <c r="F427" s="125"/>
      <c r="H427" s="125"/>
      <c r="J427" s="125"/>
    </row>
    <row r="428">
      <c r="D428" s="125"/>
      <c r="E428" s="125"/>
      <c r="F428" s="125"/>
      <c r="H428" s="125"/>
      <c r="J428" s="125"/>
    </row>
    <row r="429">
      <c r="D429" s="125"/>
      <c r="E429" s="125"/>
      <c r="F429" s="125"/>
      <c r="H429" s="125"/>
      <c r="J429" s="125"/>
    </row>
    <row r="430">
      <c r="D430" s="125"/>
      <c r="E430" s="125"/>
      <c r="F430" s="125"/>
      <c r="H430" s="125"/>
      <c r="J430" s="125"/>
    </row>
    <row r="431">
      <c r="D431" s="125"/>
      <c r="E431" s="125"/>
      <c r="F431" s="125"/>
      <c r="H431" s="125"/>
      <c r="J431" s="125"/>
    </row>
    <row r="432">
      <c r="D432" s="125"/>
      <c r="E432" s="125"/>
      <c r="F432" s="125"/>
      <c r="H432" s="125"/>
      <c r="J432" s="125"/>
    </row>
    <row r="433">
      <c r="D433" s="125"/>
      <c r="E433" s="125"/>
      <c r="F433" s="125"/>
      <c r="H433" s="125"/>
      <c r="J433" s="125"/>
    </row>
    <row r="434">
      <c r="D434" s="125"/>
      <c r="E434" s="125"/>
      <c r="F434" s="125"/>
      <c r="H434" s="125"/>
      <c r="J434" s="125"/>
    </row>
    <row r="435">
      <c r="D435" s="125"/>
      <c r="E435" s="125"/>
      <c r="F435" s="125"/>
      <c r="H435" s="125"/>
      <c r="J435" s="125"/>
    </row>
    <row r="436">
      <c r="D436" s="125"/>
      <c r="E436" s="125"/>
      <c r="F436" s="125"/>
      <c r="H436" s="125"/>
      <c r="J436" s="125"/>
    </row>
    <row r="437">
      <c r="D437" s="125"/>
      <c r="E437" s="125"/>
      <c r="F437" s="125"/>
      <c r="H437" s="125"/>
      <c r="J437" s="125"/>
    </row>
    <row r="438">
      <c r="D438" s="125"/>
      <c r="E438" s="125"/>
      <c r="F438" s="125"/>
      <c r="H438" s="125"/>
      <c r="J438" s="125"/>
    </row>
    <row r="439">
      <c r="D439" s="125"/>
      <c r="E439" s="125"/>
      <c r="F439" s="125"/>
      <c r="H439" s="125"/>
      <c r="J439" s="125"/>
    </row>
    <row r="440">
      <c r="D440" s="125"/>
      <c r="E440" s="125"/>
      <c r="F440" s="125"/>
      <c r="H440" s="125"/>
      <c r="J440" s="125"/>
    </row>
    <row r="441">
      <c r="D441" s="125"/>
      <c r="E441" s="125"/>
      <c r="F441" s="125"/>
      <c r="H441" s="125"/>
      <c r="J441" s="125"/>
    </row>
    <row r="442">
      <c r="D442" s="125"/>
      <c r="E442" s="125"/>
      <c r="F442" s="125"/>
      <c r="H442" s="125"/>
      <c r="J442" s="125"/>
    </row>
    <row r="443">
      <c r="D443" s="125"/>
      <c r="E443" s="125"/>
      <c r="F443" s="125"/>
      <c r="H443" s="125"/>
      <c r="J443" s="125"/>
    </row>
    <row r="444">
      <c r="D444" s="125"/>
      <c r="E444" s="125"/>
      <c r="F444" s="125"/>
      <c r="H444" s="125"/>
      <c r="J444" s="125"/>
    </row>
    <row r="445">
      <c r="D445" s="125"/>
      <c r="E445" s="125"/>
      <c r="F445" s="125"/>
      <c r="H445" s="125"/>
      <c r="J445" s="125"/>
    </row>
    <row r="446">
      <c r="D446" s="125"/>
      <c r="E446" s="125"/>
      <c r="F446" s="125"/>
      <c r="H446" s="125"/>
      <c r="J446" s="125"/>
    </row>
    <row r="447">
      <c r="D447" s="125"/>
      <c r="E447" s="125"/>
      <c r="F447" s="125"/>
      <c r="H447" s="125"/>
      <c r="J447" s="125"/>
    </row>
    <row r="448">
      <c r="D448" s="125"/>
      <c r="E448" s="125"/>
      <c r="F448" s="125"/>
      <c r="H448" s="125"/>
      <c r="J448" s="125"/>
    </row>
    <row r="449">
      <c r="D449" s="125"/>
      <c r="E449" s="125"/>
      <c r="F449" s="125"/>
      <c r="H449" s="125"/>
      <c r="J449" s="125"/>
    </row>
    <row r="450">
      <c r="D450" s="125"/>
      <c r="E450" s="125"/>
      <c r="F450" s="125"/>
      <c r="H450" s="125"/>
      <c r="J450" s="125"/>
    </row>
    <row r="451">
      <c r="D451" s="125"/>
      <c r="E451" s="125"/>
      <c r="F451" s="125"/>
      <c r="H451" s="125"/>
      <c r="J451" s="125"/>
    </row>
    <row r="452">
      <c r="D452" s="125"/>
      <c r="E452" s="125"/>
      <c r="F452" s="125"/>
      <c r="H452" s="125"/>
      <c r="J452" s="125"/>
    </row>
    <row r="453">
      <c r="D453" s="125"/>
      <c r="E453" s="125"/>
      <c r="F453" s="125"/>
      <c r="H453" s="125"/>
      <c r="J453" s="125"/>
    </row>
    <row r="454">
      <c r="D454" s="125"/>
      <c r="E454" s="125"/>
      <c r="F454" s="125"/>
      <c r="H454" s="125"/>
      <c r="J454" s="125"/>
    </row>
    <row r="455">
      <c r="D455" s="125"/>
      <c r="E455" s="125"/>
      <c r="F455" s="125"/>
      <c r="H455" s="125"/>
      <c r="J455" s="125"/>
    </row>
    <row r="456">
      <c r="D456" s="125"/>
      <c r="E456" s="125"/>
      <c r="F456" s="125"/>
      <c r="H456" s="125"/>
      <c r="J456" s="125"/>
    </row>
    <row r="457">
      <c r="D457" s="125"/>
      <c r="E457" s="125"/>
      <c r="F457" s="125"/>
      <c r="H457" s="125"/>
      <c r="J457" s="125"/>
    </row>
    <row r="458">
      <c r="D458" s="125"/>
      <c r="E458" s="125"/>
      <c r="F458" s="125"/>
      <c r="H458" s="125"/>
      <c r="J458" s="125"/>
    </row>
    <row r="459">
      <c r="D459" s="125"/>
      <c r="E459" s="125"/>
      <c r="F459" s="125"/>
      <c r="H459" s="125"/>
      <c r="J459" s="125"/>
    </row>
    <row r="460">
      <c r="D460" s="125"/>
      <c r="E460" s="125"/>
      <c r="F460" s="125"/>
      <c r="H460" s="125"/>
      <c r="J460" s="125"/>
    </row>
    <row r="461">
      <c r="D461" s="125"/>
      <c r="E461" s="125"/>
      <c r="F461" s="125"/>
      <c r="H461" s="125"/>
      <c r="J461" s="125"/>
    </row>
    <row r="462">
      <c r="D462" s="125"/>
      <c r="E462" s="125"/>
      <c r="F462" s="125"/>
      <c r="H462" s="125"/>
      <c r="J462" s="125"/>
    </row>
    <row r="463">
      <c r="D463" s="125"/>
      <c r="E463" s="125"/>
      <c r="F463" s="125"/>
      <c r="H463" s="125"/>
      <c r="J463" s="125"/>
    </row>
    <row r="464">
      <c r="D464" s="125"/>
      <c r="E464" s="125"/>
      <c r="F464" s="125"/>
      <c r="H464" s="125"/>
      <c r="J464" s="125"/>
    </row>
    <row r="465">
      <c r="D465" s="125"/>
      <c r="E465" s="125"/>
      <c r="F465" s="125"/>
      <c r="H465" s="125"/>
      <c r="J465" s="125"/>
    </row>
    <row r="466">
      <c r="D466" s="125"/>
      <c r="E466" s="125"/>
      <c r="F466" s="125"/>
      <c r="H466" s="125"/>
      <c r="J466" s="125"/>
    </row>
    <row r="467">
      <c r="D467" s="125"/>
      <c r="E467" s="125"/>
      <c r="F467" s="125"/>
      <c r="H467" s="125"/>
      <c r="J467" s="125"/>
    </row>
    <row r="468">
      <c r="D468" s="125"/>
      <c r="E468" s="125"/>
      <c r="F468" s="125"/>
      <c r="H468" s="125"/>
      <c r="J468" s="125"/>
    </row>
    <row r="469">
      <c r="D469" s="125"/>
      <c r="E469" s="125"/>
      <c r="F469" s="125"/>
      <c r="H469" s="125"/>
      <c r="J469" s="125"/>
    </row>
    <row r="470">
      <c r="D470" s="125"/>
      <c r="E470" s="125"/>
      <c r="F470" s="125"/>
      <c r="H470" s="125"/>
      <c r="J470" s="125"/>
    </row>
    <row r="471">
      <c r="D471" s="125"/>
      <c r="E471" s="125"/>
      <c r="F471" s="125"/>
      <c r="H471" s="125"/>
      <c r="J471" s="125"/>
    </row>
    <row r="472">
      <c r="D472" s="125"/>
      <c r="E472" s="125"/>
      <c r="F472" s="125"/>
      <c r="H472" s="125"/>
      <c r="J472" s="125"/>
    </row>
    <row r="473">
      <c r="D473" s="125"/>
      <c r="E473" s="125"/>
      <c r="F473" s="125"/>
      <c r="H473" s="125"/>
      <c r="J473" s="125"/>
    </row>
    <row r="474">
      <c r="D474" s="125"/>
      <c r="E474" s="125"/>
      <c r="F474" s="125"/>
      <c r="H474" s="125"/>
      <c r="J474" s="125"/>
    </row>
    <row r="475">
      <c r="D475" s="125"/>
      <c r="E475" s="125"/>
      <c r="F475" s="125"/>
      <c r="H475" s="125"/>
      <c r="J475" s="125"/>
    </row>
    <row r="476">
      <c r="D476" s="125"/>
      <c r="E476" s="125"/>
      <c r="F476" s="125"/>
      <c r="H476" s="125"/>
      <c r="J476" s="125"/>
    </row>
    <row r="477">
      <c r="D477" s="125"/>
      <c r="E477" s="125"/>
      <c r="F477" s="125"/>
      <c r="H477" s="125"/>
      <c r="J477" s="125"/>
    </row>
    <row r="478">
      <c r="D478" s="125"/>
      <c r="E478" s="125"/>
      <c r="F478" s="125"/>
      <c r="H478" s="125"/>
      <c r="J478" s="125"/>
    </row>
    <row r="479">
      <c r="D479" s="125"/>
      <c r="E479" s="125"/>
      <c r="F479" s="125"/>
      <c r="H479" s="125"/>
      <c r="J479" s="125"/>
    </row>
    <row r="480">
      <c r="D480" s="125"/>
      <c r="E480" s="125"/>
      <c r="F480" s="125"/>
      <c r="H480" s="125"/>
      <c r="J480" s="125"/>
    </row>
    <row r="481">
      <c r="D481" s="125"/>
      <c r="E481" s="125"/>
      <c r="F481" s="125"/>
      <c r="H481" s="125"/>
      <c r="J481" s="125"/>
    </row>
    <row r="482">
      <c r="D482" s="125"/>
      <c r="E482" s="125"/>
      <c r="F482" s="125"/>
      <c r="H482" s="125"/>
      <c r="J482" s="125"/>
    </row>
    <row r="483">
      <c r="D483" s="125"/>
      <c r="E483" s="125"/>
      <c r="F483" s="125"/>
      <c r="H483" s="125"/>
      <c r="J483" s="125"/>
    </row>
    <row r="484">
      <c r="D484" s="125"/>
      <c r="E484" s="125"/>
      <c r="F484" s="125"/>
      <c r="H484" s="125"/>
      <c r="J484" s="125"/>
    </row>
    <row r="485">
      <c r="D485" s="125"/>
      <c r="E485" s="125"/>
      <c r="F485" s="125"/>
      <c r="H485" s="125"/>
      <c r="J485" s="125"/>
    </row>
    <row r="486">
      <c r="D486" s="125"/>
      <c r="E486" s="125"/>
      <c r="F486" s="125"/>
      <c r="H486" s="125"/>
      <c r="J486" s="125"/>
    </row>
    <row r="487">
      <c r="D487" s="125"/>
      <c r="E487" s="125"/>
      <c r="F487" s="125"/>
      <c r="H487" s="125"/>
      <c r="J487" s="125"/>
    </row>
    <row r="488">
      <c r="D488" s="125"/>
      <c r="E488" s="125"/>
      <c r="F488" s="125"/>
      <c r="H488" s="125"/>
      <c r="J488" s="125"/>
    </row>
    <row r="489">
      <c r="D489" s="125"/>
      <c r="E489" s="125"/>
      <c r="F489" s="125"/>
      <c r="H489" s="125"/>
      <c r="J489" s="125"/>
    </row>
    <row r="490">
      <c r="D490" s="125"/>
      <c r="E490" s="125"/>
      <c r="F490" s="125"/>
      <c r="H490" s="125"/>
      <c r="J490" s="125"/>
    </row>
    <row r="491">
      <c r="D491" s="125"/>
      <c r="E491" s="125"/>
      <c r="F491" s="125"/>
      <c r="H491" s="125"/>
      <c r="J491" s="125"/>
    </row>
    <row r="492">
      <c r="D492" s="125"/>
      <c r="E492" s="125"/>
      <c r="F492" s="125"/>
      <c r="H492" s="125"/>
      <c r="J492" s="125"/>
    </row>
    <row r="493">
      <c r="D493" s="125"/>
      <c r="E493" s="125"/>
      <c r="F493" s="125"/>
      <c r="H493" s="125"/>
      <c r="J493" s="125"/>
    </row>
    <row r="494">
      <c r="D494" s="125"/>
      <c r="E494" s="125"/>
      <c r="F494" s="125"/>
      <c r="H494" s="125"/>
      <c r="J494" s="125"/>
    </row>
    <row r="495">
      <c r="D495" s="125"/>
      <c r="E495" s="125"/>
      <c r="F495" s="125"/>
      <c r="H495" s="125"/>
      <c r="J495" s="125"/>
    </row>
    <row r="496">
      <c r="D496" s="125"/>
      <c r="E496" s="125"/>
      <c r="F496" s="125"/>
      <c r="H496" s="125"/>
      <c r="J496" s="125"/>
    </row>
    <row r="497">
      <c r="D497" s="125"/>
      <c r="E497" s="125"/>
      <c r="F497" s="125"/>
      <c r="H497" s="125"/>
      <c r="J497" s="125"/>
    </row>
    <row r="498">
      <c r="D498" s="125"/>
      <c r="E498" s="125"/>
      <c r="F498" s="125"/>
      <c r="H498" s="125"/>
      <c r="J498" s="125"/>
    </row>
    <row r="499">
      <c r="D499" s="125"/>
      <c r="E499" s="125"/>
      <c r="F499" s="125"/>
      <c r="H499" s="125"/>
      <c r="J499" s="125"/>
    </row>
    <row r="500">
      <c r="D500" s="125"/>
      <c r="E500" s="125"/>
      <c r="F500" s="125"/>
      <c r="H500" s="125"/>
      <c r="J500" s="125"/>
    </row>
    <row r="501">
      <c r="D501" s="125"/>
      <c r="E501" s="125"/>
      <c r="F501" s="125"/>
      <c r="H501" s="125"/>
      <c r="J501" s="125"/>
    </row>
    <row r="502">
      <c r="D502" s="125"/>
      <c r="E502" s="125"/>
      <c r="F502" s="125"/>
      <c r="H502" s="125"/>
      <c r="J502" s="125"/>
    </row>
    <row r="503">
      <c r="D503" s="125"/>
      <c r="E503" s="125"/>
      <c r="F503" s="125"/>
      <c r="H503" s="125"/>
      <c r="J503" s="125"/>
    </row>
    <row r="504">
      <c r="D504" s="125"/>
      <c r="E504" s="125"/>
      <c r="F504" s="125"/>
      <c r="H504" s="125"/>
      <c r="J504" s="125"/>
    </row>
    <row r="505">
      <c r="D505" s="125"/>
      <c r="E505" s="125"/>
      <c r="F505" s="125"/>
      <c r="H505" s="125"/>
      <c r="J505" s="125"/>
    </row>
    <row r="506">
      <c r="D506" s="125"/>
      <c r="E506" s="125"/>
      <c r="F506" s="125"/>
      <c r="H506" s="125"/>
      <c r="J506" s="125"/>
    </row>
    <row r="507">
      <c r="D507" s="125"/>
      <c r="E507" s="125"/>
      <c r="F507" s="125"/>
      <c r="H507" s="125"/>
      <c r="J507" s="125"/>
    </row>
    <row r="508">
      <c r="D508" s="125"/>
      <c r="E508" s="125"/>
      <c r="F508" s="125"/>
      <c r="H508" s="125"/>
      <c r="J508" s="125"/>
    </row>
    <row r="509">
      <c r="D509" s="125"/>
      <c r="E509" s="125"/>
      <c r="F509" s="125"/>
      <c r="H509" s="125"/>
      <c r="J509" s="125"/>
    </row>
    <row r="510">
      <c r="D510" s="125"/>
      <c r="E510" s="125"/>
      <c r="F510" s="125"/>
      <c r="H510" s="125"/>
      <c r="J510" s="125"/>
    </row>
    <row r="511">
      <c r="D511" s="125"/>
      <c r="E511" s="125"/>
      <c r="F511" s="125"/>
      <c r="H511" s="125"/>
      <c r="J511" s="125"/>
    </row>
    <row r="512">
      <c r="D512" s="125"/>
      <c r="E512" s="125"/>
      <c r="F512" s="125"/>
      <c r="H512" s="125"/>
      <c r="J512" s="125"/>
    </row>
    <row r="513">
      <c r="D513" s="125"/>
      <c r="E513" s="125"/>
      <c r="F513" s="125"/>
      <c r="H513" s="125"/>
      <c r="J513" s="125"/>
    </row>
    <row r="514">
      <c r="D514" s="125"/>
      <c r="E514" s="125"/>
      <c r="F514" s="125"/>
      <c r="H514" s="125"/>
      <c r="J514" s="125"/>
    </row>
    <row r="515">
      <c r="D515" s="125"/>
      <c r="E515" s="125"/>
      <c r="F515" s="125"/>
      <c r="H515" s="125"/>
      <c r="J515" s="125"/>
    </row>
    <row r="516">
      <c r="D516" s="125"/>
      <c r="E516" s="125"/>
      <c r="F516" s="125"/>
      <c r="H516" s="125"/>
      <c r="J516" s="125"/>
    </row>
    <row r="517">
      <c r="D517" s="125"/>
      <c r="E517" s="125"/>
      <c r="F517" s="125"/>
      <c r="H517" s="125"/>
      <c r="J517" s="125"/>
    </row>
    <row r="518">
      <c r="D518" s="125"/>
      <c r="E518" s="125"/>
      <c r="F518" s="125"/>
      <c r="H518" s="125"/>
      <c r="J518" s="125"/>
    </row>
    <row r="519">
      <c r="D519" s="125"/>
      <c r="E519" s="125"/>
      <c r="F519" s="125"/>
      <c r="H519" s="125"/>
      <c r="J519" s="125"/>
    </row>
    <row r="520">
      <c r="D520" s="125"/>
      <c r="E520" s="125"/>
      <c r="F520" s="125"/>
      <c r="H520" s="125"/>
      <c r="J520" s="125"/>
    </row>
    <row r="521">
      <c r="D521" s="125"/>
      <c r="E521" s="125"/>
      <c r="F521" s="125"/>
      <c r="H521" s="125"/>
      <c r="J521" s="125"/>
    </row>
    <row r="522">
      <c r="D522" s="125"/>
      <c r="E522" s="125"/>
      <c r="F522" s="125"/>
      <c r="H522" s="125"/>
      <c r="J522" s="125"/>
    </row>
    <row r="523">
      <c r="D523" s="125"/>
      <c r="E523" s="125"/>
      <c r="F523" s="125"/>
      <c r="H523" s="125"/>
      <c r="J523" s="125"/>
    </row>
    <row r="524">
      <c r="D524" s="125"/>
      <c r="E524" s="125"/>
      <c r="F524" s="125"/>
      <c r="H524" s="125"/>
      <c r="J524" s="125"/>
    </row>
    <row r="525">
      <c r="D525" s="125"/>
      <c r="E525" s="125"/>
      <c r="F525" s="125"/>
      <c r="H525" s="125"/>
      <c r="J525" s="125"/>
    </row>
    <row r="526">
      <c r="D526" s="125"/>
      <c r="E526" s="125"/>
      <c r="F526" s="125"/>
      <c r="H526" s="125"/>
      <c r="J526" s="125"/>
    </row>
    <row r="527">
      <c r="D527" s="125"/>
      <c r="E527" s="125"/>
      <c r="F527" s="125"/>
      <c r="H527" s="125"/>
      <c r="J527" s="125"/>
    </row>
    <row r="528">
      <c r="D528" s="125"/>
      <c r="E528" s="125"/>
      <c r="F528" s="125"/>
      <c r="H528" s="125"/>
      <c r="J528" s="125"/>
    </row>
    <row r="529">
      <c r="D529" s="125"/>
      <c r="E529" s="125"/>
      <c r="F529" s="125"/>
      <c r="H529" s="125"/>
      <c r="J529" s="125"/>
    </row>
    <row r="530">
      <c r="D530" s="125"/>
      <c r="E530" s="125"/>
      <c r="F530" s="125"/>
      <c r="H530" s="125"/>
      <c r="J530" s="125"/>
    </row>
    <row r="531">
      <c r="D531" s="125"/>
      <c r="E531" s="125"/>
      <c r="F531" s="125"/>
      <c r="H531" s="125"/>
      <c r="J531" s="125"/>
    </row>
    <row r="532">
      <c r="D532" s="125"/>
      <c r="E532" s="125"/>
      <c r="F532" s="125"/>
      <c r="H532" s="125"/>
      <c r="J532" s="125"/>
    </row>
    <row r="533">
      <c r="D533" s="125"/>
      <c r="E533" s="125"/>
      <c r="F533" s="125"/>
      <c r="H533" s="125"/>
      <c r="J533" s="125"/>
    </row>
    <row r="534">
      <c r="D534" s="125"/>
      <c r="E534" s="125"/>
      <c r="F534" s="125"/>
      <c r="H534" s="125"/>
      <c r="J534" s="125"/>
    </row>
    <row r="535">
      <c r="D535" s="125"/>
      <c r="E535" s="125"/>
      <c r="F535" s="125"/>
      <c r="H535" s="125"/>
      <c r="J535" s="125"/>
    </row>
    <row r="536">
      <c r="D536" s="125"/>
      <c r="E536" s="125"/>
      <c r="F536" s="125"/>
      <c r="H536" s="125"/>
      <c r="J536" s="125"/>
    </row>
    <row r="537">
      <c r="D537" s="125"/>
      <c r="E537" s="125"/>
      <c r="F537" s="125"/>
      <c r="H537" s="125"/>
      <c r="J537" s="125"/>
    </row>
    <row r="538">
      <c r="D538" s="125"/>
      <c r="E538" s="125"/>
      <c r="F538" s="125"/>
      <c r="H538" s="125"/>
      <c r="J538" s="125"/>
    </row>
    <row r="539">
      <c r="D539" s="125"/>
      <c r="E539" s="125"/>
      <c r="F539" s="125"/>
      <c r="H539" s="125"/>
      <c r="J539" s="125"/>
    </row>
    <row r="540">
      <c r="D540" s="125"/>
      <c r="E540" s="125"/>
      <c r="F540" s="125"/>
      <c r="H540" s="125"/>
      <c r="J540" s="125"/>
    </row>
    <row r="541">
      <c r="D541" s="125"/>
      <c r="E541" s="125"/>
      <c r="F541" s="125"/>
      <c r="H541" s="125"/>
      <c r="J541" s="125"/>
    </row>
    <row r="542">
      <c r="D542" s="125"/>
      <c r="E542" s="125"/>
      <c r="F542" s="125"/>
      <c r="H542" s="125"/>
      <c r="J542" s="125"/>
    </row>
    <row r="543">
      <c r="D543" s="125"/>
      <c r="E543" s="125"/>
      <c r="F543" s="125"/>
      <c r="H543" s="125"/>
      <c r="J543" s="125"/>
    </row>
    <row r="544">
      <c r="D544" s="125"/>
      <c r="E544" s="125"/>
      <c r="F544" s="125"/>
      <c r="H544" s="125"/>
      <c r="J544" s="125"/>
    </row>
    <row r="545">
      <c r="D545" s="125"/>
      <c r="E545" s="125"/>
      <c r="F545" s="125"/>
      <c r="H545" s="125"/>
      <c r="J545" s="125"/>
    </row>
    <row r="546">
      <c r="D546" s="125"/>
      <c r="E546" s="125"/>
      <c r="F546" s="125"/>
      <c r="H546" s="125"/>
      <c r="J546" s="125"/>
    </row>
    <row r="547">
      <c r="D547" s="125"/>
      <c r="E547" s="125"/>
      <c r="F547" s="125"/>
      <c r="H547" s="125"/>
      <c r="J547" s="125"/>
    </row>
    <row r="548">
      <c r="D548" s="125"/>
      <c r="E548" s="125"/>
      <c r="F548" s="125"/>
      <c r="H548" s="125"/>
      <c r="J548" s="125"/>
    </row>
    <row r="549">
      <c r="D549" s="125"/>
      <c r="E549" s="125"/>
      <c r="F549" s="125"/>
      <c r="H549" s="125"/>
      <c r="J549" s="125"/>
    </row>
    <row r="550">
      <c r="D550" s="125"/>
      <c r="E550" s="125"/>
      <c r="F550" s="125"/>
      <c r="H550" s="125"/>
      <c r="J550" s="125"/>
    </row>
    <row r="551">
      <c r="D551" s="125"/>
      <c r="E551" s="125"/>
      <c r="F551" s="125"/>
      <c r="H551" s="125"/>
      <c r="J551" s="125"/>
    </row>
    <row r="552">
      <c r="D552" s="125"/>
      <c r="E552" s="125"/>
      <c r="F552" s="125"/>
      <c r="H552" s="125"/>
      <c r="J552" s="125"/>
    </row>
    <row r="553">
      <c r="D553" s="125"/>
      <c r="E553" s="125"/>
      <c r="F553" s="125"/>
      <c r="H553" s="125"/>
      <c r="J553" s="125"/>
    </row>
    <row r="554">
      <c r="D554" s="125"/>
      <c r="E554" s="125"/>
      <c r="F554" s="125"/>
      <c r="H554" s="125"/>
      <c r="J554" s="125"/>
    </row>
    <row r="555">
      <c r="D555" s="125"/>
      <c r="E555" s="125"/>
      <c r="F555" s="125"/>
      <c r="H555" s="125"/>
      <c r="J555" s="125"/>
    </row>
    <row r="556">
      <c r="D556" s="125"/>
      <c r="E556" s="125"/>
      <c r="F556" s="125"/>
      <c r="H556" s="125"/>
      <c r="J556" s="125"/>
    </row>
    <row r="557">
      <c r="D557" s="125"/>
      <c r="E557" s="125"/>
      <c r="F557" s="125"/>
      <c r="H557" s="125"/>
      <c r="J557" s="125"/>
    </row>
    <row r="558">
      <c r="D558" s="125"/>
      <c r="E558" s="125"/>
      <c r="F558" s="125"/>
      <c r="H558" s="125"/>
      <c r="J558" s="125"/>
    </row>
    <row r="559">
      <c r="D559" s="125"/>
      <c r="E559" s="125"/>
      <c r="F559" s="125"/>
      <c r="H559" s="125"/>
      <c r="J559" s="125"/>
    </row>
    <row r="560">
      <c r="D560" s="125"/>
      <c r="E560" s="125"/>
      <c r="F560" s="125"/>
      <c r="H560" s="125"/>
      <c r="J560" s="125"/>
    </row>
    <row r="561">
      <c r="D561" s="125"/>
      <c r="E561" s="125"/>
      <c r="F561" s="125"/>
      <c r="H561" s="125"/>
      <c r="J561" s="125"/>
    </row>
    <row r="562">
      <c r="D562" s="125"/>
      <c r="E562" s="125"/>
      <c r="F562" s="125"/>
      <c r="H562" s="125"/>
      <c r="J562" s="125"/>
    </row>
    <row r="563">
      <c r="D563" s="125"/>
      <c r="E563" s="125"/>
      <c r="F563" s="125"/>
      <c r="H563" s="125"/>
      <c r="J563" s="125"/>
    </row>
    <row r="564">
      <c r="D564" s="125"/>
      <c r="E564" s="125"/>
      <c r="F564" s="125"/>
      <c r="H564" s="125"/>
      <c r="J564" s="125"/>
    </row>
    <row r="565">
      <c r="D565" s="125"/>
      <c r="E565" s="125"/>
      <c r="F565" s="125"/>
      <c r="H565" s="125"/>
      <c r="J565" s="125"/>
    </row>
    <row r="566">
      <c r="D566" s="125"/>
      <c r="E566" s="125"/>
      <c r="F566" s="125"/>
      <c r="H566" s="125"/>
      <c r="J566" s="125"/>
    </row>
    <row r="567">
      <c r="D567" s="125"/>
      <c r="E567" s="125"/>
      <c r="F567" s="125"/>
      <c r="H567" s="125"/>
      <c r="J567" s="125"/>
    </row>
    <row r="568">
      <c r="D568" s="125"/>
      <c r="E568" s="125"/>
      <c r="F568" s="125"/>
      <c r="H568" s="125"/>
      <c r="J568" s="125"/>
    </row>
    <row r="569">
      <c r="D569" s="125"/>
      <c r="E569" s="125"/>
      <c r="F569" s="125"/>
      <c r="H569" s="125"/>
      <c r="J569" s="125"/>
    </row>
    <row r="570">
      <c r="D570" s="125"/>
      <c r="E570" s="125"/>
      <c r="F570" s="125"/>
      <c r="H570" s="125"/>
      <c r="J570" s="125"/>
    </row>
    <row r="571">
      <c r="D571" s="125"/>
      <c r="E571" s="125"/>
      <c r="F571" s="125"/>
      <c r="H571" s="125"/>
      <c r="J571" s="125"/>
    </row>
    <row r="572">
      <c r="D572" s="125"/>
      <c r="E572" s="125"/>
      <c r="F572" s="125"/>
      <c r="H572" s="125"/>
      <c r="J572" s="125"/>
    </row>
    <row r="573">
      <c r="D573" s="125"/>
      <c r="E573" s="125"/>
      <c r="F573" s="125"/>
      <c r="H573" s="125"/>
      <c r="J573" s="125"/>
    </row>
    <row r="574">
      <c r="D574" s="125"/>
      <c r="E574" s="125"/>
      <c r="F574" s="125"/>
      <c r="H574" s="125"/>
      <c r="J574" s="125"/>
    </row>
    <row r="575">
      <c r="D575" s="125"/>
      <c r="E575" s="125"/>
      <c r="F575" s="125"/>
      <c r="H575" s="125"/>
      <c r="J575" s="125"/>
    </row>
    <row r="576">
      <c r="D576" s="125"/>
      <c r="E576" s="125"/>
      <c r="F576" s="125"/>
      <c r="H576" s="125"/>
      <c r="J576" s="125"/>
    </row>
    <row r="577">
      <c r="D577" s="125"/>
      <c r="E577" s="125"/>
      <c r="F577" s="125"/>
      <c r="H577" s="125"/>
      <c r="J577" s="125"/>
    </row>
    <row r="578">
      <c r="D578" s="125"/>
      <c r="E578" s="125"/>
      <c r="F578" s="125"/>
      <c r="H578" s="125"/>
      <c r="J578" s="125"/>
    </row>
    <row r="579">
      <c r="D579" s="125"/>
      <c r="E579" s="125"/>
      <c r="F579" s="125"/>
      <c r="H579" s="125"/>
      <c r="J579" s="125"/>
    </row>
    <row r="580">
      <c r="D580" s="125"/>
      <c r="E580" s="125"/>
      <c r="F580" s="125"/>
      <c r="H580" s="125"/>
      <c r="J580" s="125"/>
    </row>
    <row r="581">
      <c r="D581" s="125"/>
      <c r="E581" s="125"/>
      <c r="F581" s="125"/>
      <c r="H581" s="125"/>
      <c r="J581" s="125"/>
    </row>
    <row r="582">
      <c r="D582" s="125"/>
      <c r="E582" s="125"/>
      <c r="F582" s="125"/>
      <c r="H582" s="125"/>
      <c r="J582" s="125"/>
    </row>
    <row r="583">
      <c r="D583" s="125"/>
      <c r="E583" s="125"/>
      <c r="F583" s="125"/>
      <c r="H583" s="125"/>
      <c r="J583" s="125"/>
    </row>
    <row r="584">
      <c r="D584" s="125"/>
      <c r="E584" s="125"/>
      <c r="F584" s="125"/>
      <c r="H584" s="125"/>
      <c r="J584" s="125"/>
    </row>
    <row r="585">
      <c r="D585" s="125"/>
      <c r="E585" s="125"/>
      <c r="F585" s="125"/>
      <c r="H585" s="125"/>
      <c r="J585" s="125"/>
    </row>
    <row r="586">
      <c r="D586" s="125"/>
      <c r="E586" s="125"/>
      <c r="F586" s="125"/>
      <c r="H586" s="125"/>
      <c r="J586" s="125"/>
    </row>
    <row r="587">
      <c r="D587" s="125"/>
      <c r="E587" s="125"/>
      <c r="F587" s="125"/>
      <c r="H587" s="125"/>
      <c r="J587" s="125"/>
    </row>
    <row r="588">
      <c r="D588" s="125"/>
      <c r="E588" s="125"/>
      <c r="F588" s="125"/>
      <c r="H588" s="125"/>
      <c r="J588" s="125"/>
    </row>
    <row r="589">
      <c r="D589" s="125"/>
      <c r="E589" s="125"/>
      <c r="F589" s="125"/>
      <c r="H589" s="125"/>
      <c r="J589" s="125"/>
    </row>
    <row r="590">
      <c r="D590" s="125"/>
      <c r="E590" s="125"/>
      <c r="F590" s="125"/>
      <c r="H590" s="125"/>
      <c r="J590" s="125"/>
    </row>
    <row r="591">
      <c r="D591" s="125"/>
      <c r="E591" s="125"/>
      <c r="F591" s="125"/>
      <c r="H591" s="125"/>
      <c r="J591" s="125"/>
    </row>
    <row r="592">
      <c r="D592" s="125"/>
      <c r="E592" s="125"/>
      <c r="F592" s="125"/>
      <c r="H592" s="125"/>
      <c r="J592" s="125"/>
    </row>
    <row r="593">
      <c r="D593" s="125"/>
      <c r="E593" s="125"/>
      <c r="F593" s="125"/>
      <c r="H593" s="125"/>
      <c r="J593" s="125"/>
    </row>
    <row r="594">
      <c r="D594" s="125"/>
      <c r="E594" s="125"/>
      <c r="F594" s="125"/>
      <c r="H594" s="125"/>
      <c r="J594" s="125"/>
    </row>
    <row r="595">
      <c r="D595" s="125"/>
      <c r="E595" s="125"/>
      <c r="F595" s="125"/>
      <c r="H595" s="125"/>
      <c r="J595" s="125"/>
    </row>
    <row r="596">
      <c r="D596" s="125"/>
      <c r="E596" s="125"/>
      <c r="F596" s="125"/>
      <c r="H596" s="125"/>
      <c r="J596" s="125"/>
    </row>
    <row r="597">
      <c r="D597" s="125"/>
      <c r="E597" s="125"/>
      <c r="F597" s="125"/>
      <c r="H597" s="125"/>
      <c r="J597" s="125"/>
    </row>
    <row r="598">
      <c r="D598" s="125"/>
      <c r="E598" s="125"/>
      <c r="F598" s="125"/>
      <c r="H598" s="125"/>
      <c r="J598" s="125"/>
    </row>
    <row r="599">
      <c r="D599" s="125"/>
      <c r="E599" s="125"/>
      <c r="F599" s="125"/>
      <c r="H599" s="125"/>
      <c r="J599" s="125"/>
    </row>
    <row r="600">
      <c r="D600" s="125"/>
      <c r="E600" s="125"/>
      <c r="F600" s="125"/>
      <c r="H600" s="125"/>
      <c r="J600" s="125"/>
    </row>
    <row r="601">
      <c r="D601" s="125"/>
      <c r="E601" s="125"/>
      <c r="F601" s="125"/>
      <c r="H601" s="125"/>
      <c r="J601" s="125"/>
    </row>
    <row r="602">
      <c r="D602" s="125"/>
      <c r="E602" s="125"/>
      <c r="F602" s="125"/>
      <c r="H602" s="125"/>
      <c r="J602" s="125"/>
    </row>
    <row r="603">
      <c r="D603" s="125"/>
      <c r="E603" s="125"/>
      <c r="F603" s="125"/>
      <c r="H603" s="125"/>
      <c r="J603" s="125"/>
    </row>
    <row r="604">
      <c r="D604" s="125"/>
      <c r="E604" s="125"/>
      <c r="F604" s="125"/>
      <c r="H604" s="125"/>
      <c r="J604" s="125"/>
    </row>
    <row r="605">
      <c r="D605" s="125"/>
      <c r="E605" s="125"/>
      <c r="F605" s="125"/>
      <c r="H605" s="125"/>
      <c r="J605" s="125"/>
    </row>
    <row r="606">
      <c r="D606" s="125"/>
      <c r="E606" s="125"/>
      <c r="F606" s="125"/>
      <c r="H606" s="125"/>
      <c r="J606" s="125"/>
    </row>
    <row r="607">
      <c r="D607" s="125"/>
      <c r="E607" s="125"/>
      <c r="F607" s="125"/>
      <c r="H607" s="125"/>
      <c r="J607" s="125"/>
    </row>
    <row r="608">
      <c r="D608" s="125"/>
      <c r="E608" s="125"/>
      <c r="F608" s="125"/>
      <c r="H608" s="125"/>
      <c r="J608" s="125"/>
    </row>
    <row r="609">
      <c r="D609" s="125"/>
      <c r="E609" s="125"/>
      <c r="F609" s="125"/>
      <c r="H609" s="125"/>
      <c r="J609" s="125"/>
    </row>
    <row r="610">
      <c r="D610" s="125"/>
      <c r="E610" s="125"/>
      <c r="F610" s="125"/>
      <c r="H610" s="125"/>
      <c r="J610" s="125"/>
    </row>
    <row r="611">
      <c r="D611" s="125"/>
      <c r="E611" s="125"/>
      <c r="F611" s="125"/>
      <c r="H611" s="125"/>
      <c r="J611" s="125"/>
    </row>
    <row r="612">
      <c r="D612" s="125"/>
      <c r="E612" s="125"/>
      <c r="F612" s="125"/>
      <c r="H612" s="125"/>
      <c r="J612" s="125"/>
    </row>
    <row r="613">
      <c r="D613" s="125"/>
      <c r="E613" s="125"/>
      <c r="F613" s="125"/>
      <c r="H613" s="125"/>
      <c r="J613" s="125"/>
    </row>
    <row r="614">
      <c r="D614" s="125"/>
      <c r="E614" s="125"/>
      <c r="F614" s="125"/>
      <c r="H614" s="125"/>
      <c r="J614" s="125"/>
    </row>
    <row r="615">
      <c r="D615" s="125"/>
      <c r="E615" s="125"/>
      <c r="F615" s="125"/>
      <c r="H615" s="125"/>
      <c r="J615" s="125"/>
    </row>
    <row r="616">
      <c r="D616" s="125"/>
      <c r="E616" s="125"/>
      <c r="F616" s="125"/>
      <c r="H616" s="125"/>
      <c r="J616" s="125"/>
    </row>
    <row r="617">
      <c r="D617" s="125"/>
      <c r="E617" s="125"/>
      <c r="F617" s="125"/>
      <c r="H617" s="125"/>
      <c r="J617" s="125"/>
    </row>
    <row r="618">
      <c r="D618" s="125"/>
      <c r="E618" s="125"/>
      <c r="F618" s="125"/>
      <c r="H618" s="125"/>
      <c r="J618" s="125"/>
    </row>
    <row r="619">
      <c r="D619" s="125"/>
      <c r="E619" s="125"/>
      <c r="F619" s="125"/>
      <c r="H619" s="125"/>
      <c r="J619" s="125"/>
    </row>
    <row r="620">
      <c r="D620" s="125"/>
      <c r="E620" s="125"/>
      <c r="F620" s="125"/>
      <c r="H620" s="125"/>
      <c r="J620" s="125"/>
    </row>
    <row r="621">
      <c r="D621" s="125"/>
      <c r="E621" s="125"/>
      <c r="F621" s="125"/>
      <c r="H621" s="125"/>
      <c r="J621" s="125"/>
    </row>
    <row r="622">
      <c r="D622" s="125"/>
      <c r="E622" s="125"/>
      <c r="F622" s="125"/>
      <c r="H622" s="125"/>
      <c r="J622" s="125"/>
    </row>
    <row r="623">
      <c r="D623" s="125"/>
      <c r="E623" s="125"/>
      <c r="F623" s="125"/>
      <c r="H623" s="125"/>
      <c r="J623" s="125"/>
    </row>
    <row r="624">
      <c r="D624" s="125"/>
      <c r="E624" s="125"/>
      <c r="F624" s="125"/>
      <c r="H624" s="125"/>
      <c r="J624" s="125"/>
    </row>
    <row r="625">
      <c r="D625" s="125"/>
      <c r="E625" s="125"/>
      <c r="F625" s="125"/>
      <c r="H625" s="125"/>
      <c r="J625" s="125"/>
    </row>
    <row r="626">
      <c r="D626" s="125"/>
      <c r="E626" s="125"/>
      <c r="F626" s="125"/>
      <c r="H626" s="125"/>
      <c r="J626" s="125"/>
    </row>
    <row r="627">
      <c r="D627" s="125"/>
      <c r="E627" s="125"/>
      <c r="F627" s="125"/>
      <c r="H627" s="125"/>
      <c r="J627" s="125"/>
    </row>
    <row r="628">
      <c r="D628" s="125"/>
      <c r="E628" s="125"/>
      <c r="F628" s="125"/>
      <c r="H628" s="125"/>
      <c r="J628" s="125"/>
    </row>
    <row r="629">
      <c r="D629" s="125"/>
      <c r="E629" s="125"/>
      <c r="F629" s="125"/>
      <c r="H629" s="125"/>
      <c r="J629" s="125"/>
    </row>
    <row r="630">
      <c r="D630" s="125"/>
      <c r="E630" s="125"/>
      <c r="F630" s="125"/>
      <c r="H630" s="125"/>
      <c r="J630" s="125"/>
    </row>
    <row r="631">
      <c r="D631" s="125"/>
      <c r="E631" s="125"/>
      <c r="F631" s="125"/>
      <c r="H631" s="125"/>
      <c r="J631" s="125"/>
    </row>
    <row r="632">
      <c r="D632" s="125"/>
      <c r="E632" s="125"/>
      <c r="F632" s="125"/>
      <c r="H632" s="125"/>
      <c r="J632" s="125"/>
    </row>
    <row r="633">
      <c r="D633" s="125"/>
      <c r="E633" s="125"/>
      <c r="F633" s="125"/>
      <c r="H633" s="125"/>
      <c r="J633" s="125"/>
    </row>
    <row r="634">
      <c r="D634" s="125"/>
      <c r="E634" s="125"/>
      <c r="F634" s="125"/>
      <c r="H634" s="125"/>
      <c r="J634" s="125"/>
    </row>
    <row r="635">
      <c r="D635" s="125"/>
      <c r="E635" s="125"/>
      <c r="F635" s="125"/>
      <c r="H635" s="125"/>
      <c r="J635" s="125"/>
    </row>
    <row r="636">
      <c r="D636" s="125"/>
      <c r="E636" s="125"/>
      <c r="F636" s="125"/>
      <c r="H636" s="125"/>
      <c r="J636" s="125"/>
    </row>
    <row r="637">
      <c r="D637" s="125"/>
      <c r="E637" s="125"/>
      <c r="F637" s="125"/>
      <c r="H637" s="125"/>
      <c r="J637" s="125"/>
    </row>
    <row r="638">
      <c r="D638" s="125"/>
      <c r="E638" s="125"/>
      <c r="F638" s="125"/>
      <c r="H638" s="125"/>
      <c r="J638" s="125"/>
    </row>
    <row r="639">
      <c r="D639" s="125"/>
      <c r="E639" s="125"/>
      <c r="F639" s="125"/>
      <c r="H639" s="125"/>
      <c r="J639" s="125"/>
    </row>
    <row r="640">
      <c r="D640" s="125"/>
      <c r="E640" s="125"/>
      <c r="F640" s="125"/>
      <c r="H640" s="125"/>
      <c r="J640" s="125"/>
    </row>
    <row r="641">
      <c r="D641" s="125"/>
      <c r="E641" s="125"/>
      <c r="F641" s="125"/>
      <c r="H641" s="125"/>
      <c r="J641" s="125"/>
    </row>
    <row r="642">
      <c r="D642" s="125"/>
      <c r="E642" s="125"/>
      <c r="F642" s="125"/>
      <c r="H642" s="125"/>
      <c r="J642" s="125"/>
    </row>
    <row r="643">
      <c r="D643" s="125"/>
      <c r="E643" s="125"/>
      <c r="F643" s="125"/>
      <c r="H643" s="125"/>
      <c r="J643" s="125"/>
    </row>
    <row r="644">
      <c r="D644" s="125"/>
      <c r="E644" s="125"/>
      <c r="F644" s="125"/>
      <c r="H644" s="125"/>
      <c r="J644" s="125"/>
    </row>
    <row r="645">
      <c r="D645" s="125"/>
      <c r="E645" s="125"/>
      <c r="F645" s="125"/>
      <c r="H645" s="125"/>
      <c r="J645" s="125"/>
    </row>
    <row r="646">
      <c r="D646" s="125"/>
      <c r="E646" s="125"/>
      <c r="F646" s="125"/>
      <c r="H646" s="125"/>
      <c r="J646" s="125"/>
    </row>
    <row r="647">
      <c r="D647" s="125"/>
      <c r="E647" s="125"/>
      <c r="F647" s="125"/>
      <c r="H647" s="125"/>
      <c r="J647" s="125"/>
    </row>
    <row r="648">
      <c r="D648" s="125"/>
      <c r="E648" s="125"/>
      <c r="F648" s="125"/>
      <c r="H648" s="125"/>
      <c r="J648" s="125"/>
    </row>
    <row r="649">
      <c r="D649" s="125"/>
      <c r="E649" s="125"/>
      <c r="F649" s="125"/>
      <c r="H649" s="125"/>
      <c r="J649" s="125"/>
    </row>
    <row r="650">
      <c r="D650" s="125"/>
      <c r="E650" s="125"/>
      <c r="F650" s="125"/>
      <c r="H650" s="125"/>
      <c r="J650" s="125"/>
    </row>
    <row r="651">
      <c r="D651" s="125"/>
      <c r="E651" s="125"/>
      <c r="F651" s="125"/>
      <c r="H651" s="125"/>
      <c r="J651" s="125"/>
    </row>
    <row r="652">
      <c r="D652" s="125"/>
      <c r="E652" s="125"/>
      <c r="F652" s="125"/>
      <c r="H652" s="125"/>
      <c r="J652" s="125"/>
    </row>
    <row r="653">
      <c r="D653" s="125"/>
      <c r="E653" s="125"/>
      <c r="F653" s="125"/>
      <c r="H653" s="125"/>
      <c r="J653" s="125"/>
    </row>
    <row r="654">
      <c r="D654" s="125"/>
      <c r="E654" s="125"/>
      <c r="F654" s="125"/>
      <c r="H654" s="125"/>
      <c r="J654" s="125"/>
    </row>
    <row r="655">
      <c r="D655" s="125"/>
      <c r="E655" s="125"/>
      <c r="F655" s="125"/>
      <c r="H655" s="125"/>
      <c r="J655" s="125"/>
    </row>
    <row r="656">
      <c r="D656" s="125"/>
      <c r="E656" s="125"/>
      <c r="F656" s="125"/>
      <c r="H656" s="125"/>
      <c r="J656" s="125"/>
    </row>
    <row r="657">
      <c r="D657" s="125"/>
      <c r="E657" s="125"/>
      <c r="F657" s="125"/>
      <c r="H657" s="125"/>
      <c r="J657" s="125"/>
    </row>
    <row r="658">
      <c r="D658" s="125"/>
      <c r="E658" s="125"/>
      <c r="F658" s="125"/>
      <c r="H658" s="125"/>
      <c r="J658" s="125"/>
    </row>
    <row r="659">
      <c r="D659" s="125"/>
      <c r="E659" s="125"/>
      <c r="F659" s="125"/>
      <c r="H659" s="125"/>
      <c r="J659" s="125"/>
    </row>
    <row r="660">
      <c r="D660" s="125"/>
      <c r="E660" s="125"/>
      <c r="F660" s="125"/>
      <c r="H660" s="125"/>
      <c r="J660" s="125"/>
    </row>
    <row r="661">
      <c r="D661" s="125"/>
      <c r="E661" s="125"/>
      <c r="F661" s="125"/>
      <c r="H661" s="125"/>
      <c r="J661" s="125"/>
    </row>
    <row r="662">
      <c r="D662" s="125"/>
      <c r="E662" s="125"/>
      <c r="F662" s="125"/>
      <c r="H662" s="125"/>
      <c r="J662" s="125"/>
    </row>
    <row r="663">
      <c r="D663" s="125"/>
      <c r="E663" s="125"/>
      <c r="F663" s="125"/>
      <c r="H663" s="125"/>
      <c r="J663" s="125"/>
    </row>
    <row r="664">
      <c r="D664" s="125"/>
      <c r="E664" s="125"/>
      <c r="F664" s="125"/>
      <c r="H664" s="125"/>
      <c r="J664" s="125"/>
    </row>
    <row r="665">
      <c r="D665" s="125"/>
      <c r="E665" s="125"/>
      <c r="F665" s="125"/>
      <c r="H665" s="125"/>
      <c r="J665" s="125"/>
    </row>
    <row r="666">
      <c r="D666" s="125"/>
      <c r="E666" s="125"/>
      <c r="F666" s="125"/>
      <c r="H666" s="125"/>
      <c r="J666" s="125"/>
    </row>
    <row r="667">
      <c r="D667" s="125"/>
      <c r="E667" s="125"/>
      <c r="F667" s="125"/>
      <c r="H667" s="125"/>
      <c r="J667" s="125"/>
    </row>
    <row r="668">
      <c r="D668" s="125"/>
      <c r="E668" s="125"/>
      <c r="F668" s="125"/>
      <c r="H668" s="125"/>
      <c r="J668" s="125"/>
    </row>
    <row r="669">
      <c r="D669" s="125"/>
      <c r="E669" s="125"/>
      <c r="F669" s="125"/>
      <c r="H669" s="125"/>
      <c r="J669" s="125"/>
    </row>
    <row r="670">
      <c r="D670" s="125"/>
      <c r="E670" s="125"/>
      <c r="F670" s="125"/>
      <c r="H670" s="125"/>
      <c r="J670" s="125"/>
    </row>
    <row r="671">
      <c r="D671" s="125"/>
      <c r="E671" s="125"/>
      <c r="F671" s="125"/>
      <c r="H671" s="125"/>
      <c r="J671" s="125"/>
    </row>
    <row r="672">
      <c r="D672" s="125"/>
      <c r="E672" s="125"/>
      <c r="F672" s="125"/>
      <c r="H672" s="125"/>
      <c r="J672" s="125"/>
    </row>
    <row r="673">
      <c r="D673" s="125"/>
      <c r="E673" s="125"/>
      <c r="F673" s="125"/>
      <c r="H673" s="125"/>
      <c r="J673" s="125"/>
    </row>
    <row r="674">
      <c r="D674" s="125"/>
      <c r="E674" s="125"/>
      <c r="F674" s="125"/>
      <c r="H674" s="125"/>
      <c r="J674" s="125"/>
    </row>
    <row r="675">
      <c r="D675" s="125"/>
      <c r="E675" s="125"/>
      <c r="F675" s="125"/>
      <c r="H675" s="125"/>
      <c r="J675" s="125"/>
    </row>
    <row r="676">
      <c r="D676" s="125"/>
      <c r="E676" s="125"/>
      <c r="F676" s="125"/>
      <c r="H676" s="125"/>
      <c r="J676" s="125"/>
    </row>
    <row r="677">
      <c r="D677" s="125"/>
      <c r="E677" s="125"/>
      <c r="F677" s="125"/>
      <c r="H677" s="125"/>
      <c r="J677" s="125"/>
    </row>
    <row r="678">
      <c r="D678" s="125"/>
      <c r="E678" s="125"/>
      <c r="F678" s="125"/>
      <c r="H678" s="125"/>
      <c r="J678" s="125"/>
    </row>
    <row r="679">
      <c r="D679" s="125"/>
      <c r="E679" s="125"/>
      <c r="F679" s="125"/>
      <c r="H679" s="125"/>
      <c r="J679" s="125"/>
    </row>
    <row r="680">
      <c r="D680" s="125"/>
      <c r="E680" s="125"/>
      <c r="F680" s="125"/>
      <c r="H680" s="125"/>
      <c r="J680" s="125"/>
    </row>
    <row r="681">
      <c r="D681" s="125"/>
      <c r="E681" s="125"/>
      <c r="F681" s="125"/>
      <c r="H681" s="125"/>
      <c r="J681" s="125"/>
    </row>
    <row r="682">
      <c r="D682" s="125"/>
      <c r="E682" s="125"/>
      <c r="F682" s="125"/>
      <c r="H682" s="125"/>
      <c r="J682" s="125"/>
    </row>
    <row r="683">
      <c r="D683" s="125"/>
      <c r="E683" s="125"/>
      <c r="F683" s="125"/>
      <c r="H683" s="125"/>
      <c r="J683" s="125"/>
    </row>
    <row r="684">
      <c r="D684" s="125"/>
      <c r="E684" s="125"/>
      <c r="F684" s="125"/>
      <c r="H684" s="125"/>
      <c r="J684" s="125"/>
    </row>
    <row r="685">
      <c r="D685" s="125"/>
      <c r="E685" s="125"/>
      <c r="F685" s="125"/>
      <c r="H685" s="125"/>
      <c r="J685" s="125"/>
    </row>
    <row r="686">
      <c r="D686" s="125"/>
      <c r="E686" s="125"/>
      <c r="F686" s="125"/>
      <c r="H686" s="125"/>
      <c r="J686" s="125"/>
    </row>
    <row r="687">
      <c r="D687" s="125"/>
      <c r="E687" s="125"/>
      <c r="F687" s="125"/>
      <c r="H687" s="125"/>
      <c r="J687" s="125"/>
    </row>
    <row r="688">
      <c r="D688" s="125"/>
      <c r="E688" s="125"/>
      <c r="F688" s="125"/>
      <c r="H688" s="125"/>
      <c r="J688" s="125"/>
    </row>
    <row r="689">
      <c r="D689" s="125"/>
      <c r="E689" s="125"/>
      <c r="F689" s="125"/>
      <c r="H689" s="125"/>
      <c r="J689" s="125"/>
    </row>
    <row r="690">
      <c r="D690" s="125"/>
      <c r="E690" s="125"/>
      <c r="F690" s="125"/>
      <c r="H690" s="125"/>
      <c r="J690" s="125"/>
    </row>
    <row r="691">
      <c r="D691" s="125"/>
      <c r="E691" s="125"/>
      <c r="F691" s="125"/>
      <c r="H691" s="125"/>
      <c r="J691" s="125"/>
    </row>
    <row r="692">
      <c r="D692" s="125"/>
      <c r="E692" s="125"/>
      <c r="F692" s="125"/>
      <c r="H692" s="125"/>
      <c r="J692" s="125"/>
    </row>
    <row r="693">
      <c r="D693" s="125"/>
      <c r="E693" s="125"/>
      <c r="F693" s="125"/>
      <c r="H693" s="125"/>
      <c r="J693" s="125"/>
    </row>
    <row r="694">
      <c r="D694" s="125"/>
      <c r="E694" s="125"/>
      <c r="F694" s="125"/>
      <c r="H694" s="125"/>
      <c r="J694" s="125"/>
    </row>
    <row r="695">
      <c r="D695" s="125"/>
      <c r="E695" s="125"/>
      <c r="F695" s="125"/>
      <c r="H695" s="125"/>
      <c r="J695" s="125"/>
    </row>
    <row r="696">
      <c r="D696" s="125"/>
      <c r="E696" s="125"/>
      <c r="F696" s="125"/>
      <c r="H696" s="125"/>
      <c r="J696" s="125"/>
    </row>
    <row r="697">
      <c r="D697" s="125"/>
      <c r="E697" s="125"/>
      <c r="F697" s="125"/>
      <c r="H697" s="125"/>
      <c r="J697" s="125"/>
    </row>
    <row r="698">
      <c r="D698" s="125"/>
      <c r="E698" s="125"/>
      <c r="F698" s="125"/>
      <c r="H698" s="125"/>
      <c r="J698" s="125"/>
    </row>
    <row r="699">
      <c r="D699" s="125"/>
      <c r="E699" s="125"/>
      <c r="F699" s="125"/>
      <c r="H699" s="125"/>
      <c r="J699" s="125"/>
    </row>
    <row r="700">
      <c r="D700" s="125"/>
      <c r="E700" s="125"/>
      <c r="F700" s="125"/>
      <c r="H700" s="125"/>
      <c r="J700" s="125"/>
    </row>
    <row r="701">
      <c r="D701" s="125"/>
      <c r="E701" s="125"/>
      <c r="F701" s="125"/>
      <c r="H701" s="125"/>
      <c r="J701" s="125"/>
    </row>
    <row r="702">
      <c r="D702" s="125"/>
      <c r="E702" s="125"/>
      <c r="F702" s="125"/>
      <c r="H702" s="125"/>
      <c r="J702" s="125"/>
    </row>
    <row r="703">
      <c r="D703" s="125"/>
      <c r="E703" s="125"/>
      <c r="F703" s="125"/>
      <c r="H703" s="125"/>
      <c r="J703" s="125"/>
    </row>
    <row r="704">
      <c r="D704" s="125"/>
      <c r="E704" s="125"/>
      <c r="F704" s="125"/>
      <c r="H704" s="125"/>
      <c r="J704" s="125"/>
    </row>
    <row r="705">
      <c r="D705" s="125"/>
      <c r="E705" s="125"/>
      <c r="F705" s="125"/>
      <c r="H705" s="125"/>
      <c r="J705" s="125"/>
    </row>
    <row r="706">
      <c r="D706" s="125"/>
      <c r="E706" s="125"/>
      <c r="F706" s="125"/>
      <c r="H706" s="125"/>
      <c r="J706" s="125"/>
    </row>
    <row r="707">
      <c r="D707" s="125"/>
      <c r="E707" s="125"/>
      <c r="F707" s="125"/>
      <c r="H707" s="125"/>
      <c r="J707" s="125"/>
    </row>
    <row r="708">
      <c r="D708" s="125"/>
      <c r="E708" s="125"/>
      <c r="F708" s="125"/>
      <c r="H708" s="125"/>
      <c r="J708" s="125"/>
    </row>
    <row r="709">
      <c r="D709" s="125"/>
      <c r="E709" s="125"/>
      <c r="F709" s="125"/>
      <c r="H709" s="125"/>
      <c r="J709" s="125"/>
    </row>
    <row r="710">
      <c r="D710" s="125"/>
      <c r="E710" s="125"/>
      <c r="F710" s="125"/>
      <c r="H710" s="125"/>
      <c r="J710" s="125"/>
    </row>
    <row r="711">
      <c r="D711" s="125"/>
      <c r="E711" s="125"/>
      <c r="F711" s="125"/>
      <c r="H711" s="125"/>
      <c r="J711" s="125"/>
    </row>
    <row r="712">
      <c r="D712" s="125"/>
      <c r="E712" s="125"/>
      <c r="F712" s="125"/>
      <c r="H712" s="125"/>
      <c r="J712" s="125"/>
    </row>
    <row r="713">
      <c r="D713" s="125"/>
      <c r="E713" s="125"/>
      <c r="F713" s="125"/>
      <c r="H713" s="125"/>
      <c r="J713" s="125"/>
    </row>
    <row r="714">
      <c r="D714" s="125"/>
      <c r="E714" s="125"/>
      <c r="F714" s="125"/>
      <c r="H714" s="125"/>
      <c r="J714" s="125"/>
    </row>
    <row r="715">
      <c r="D715" s="125"/>
      <c r="E715" s="125"/>
      <c r="F715" s="125"/>
      <c r="H715" s="125"/>
      <c r="J715" s="125"/>
    </row>
    <row r="716">
      <c r="D716" s="125"/>
      <c r="E716" s="125"/>
      <c r="F716" s="125"/>
      <c r="H716" s="125"/>
      <c r="J716" s="125"/>
    </row>
    <row r="717">
      <c r="D717" s="125"/>
      <c r="E717" s="125"/>
      <c r="F717" s="125"/>
      <c r="H717" s="125"/>
      <c r="J717" s="125"/>
    </row>
    <row r="718">
      <c r="D718" s="125"/>
      <c r="E718" s="125"/>
      <c r="F718" s="125"/>
      <c r="H718" s="125"/>
      <c r="J718" s="125"/>
    </row>
    <row r="719">
      <c r="D719" s="125"/>
      <c r="E719" s="125"/>
      <c r="F719" s="125"/>
      <c r="H719" s="125"/>
      <c r="J719" s="125"/>
    </row>
    <row r="720">
      <c r="D720" s="125"/>
      <c r="E720" s="125"/>
      <c r="F720" s="125"/>
      <c r="H720" s="125"/>
      <c r="J720" s="125"/>
    </row>
    <row r="721">
      <c r="D721" s="125"/>
      <c r="E721" s="125"/>
      <c r="F721" s="125"/>
      <c r="H721" s="125"/>
      <c r="J721" s="125"/>
    </row>
    <row r="722">
      <c r="D722" s="125"/>
      <c r="E722" s="125"/>
      <c r="F722" s="125"/>
      <c r="H722" s="125"/>
      <c r="J722" s="125"/>
    </row>
    <row r="723">
      <c r="D723" s="125"/>
      <c r="E723" s="125"/>
      <c r="F723" s="125"/>
      <c r="H723" s="125"/>
      <c r="J723" s="125"/>
    </row>
    <row r="724">
      <c r="D724" s="125"/>
      <c r="E724" s="125"/>
      <c r="F724" s="125"/>
      <c r="H724" s="125"/>
      <c r="J724" s="125"/>
    </row>
    <row r="725">
      <c r="D725" s="125"/>
      <c r="E725" s="125"/>
      <c r="F725" s="125"/>
      <c r="H725" s="125"/>
      <c r="J725" s="125"/>
    </row>
    <row r="726">
      <c r="D726" s="125"/>
      <c r="E726" s="125"/>
      <c r="F726" s="125"/>
      <c r="H726" s="125"/>
      <c r="J726" s="125"/>
    </row>
    <row r="727">
      <c r="D727" s="125"/>
      <c r="E727" s="125"/>
      <c r="F727" s="125"/>
      <c r="H727" s="125"/>
      <c r="J727" s="125"/>
    </row>
    <row r="728">
      <c r="D728" s="125"/>
      <c r="E728" s="125"/>
      <c r="F728" s="125"/>
      <c r="H728" s="125"/>
      <c r="J728" s="125"/>
    </row>
    <row r="729">
      <c r="D729" s="125"/>
      <c r="E729" s="125"/>
      <c r="F729" s="125"/>
      <c r="H729" s="125"/>
      <c r="J729" s="125"/>
    </row>
    <row r="730">
      <c r="D730" s="125"/>
      <c r="E730" s="125"/>
      <c r="F730" s="125"/>
      <c r="H730" s="125"/>
      <c r="J730" s="125"/>
    </row>
    <row r="731">
      <c r="D731" s="125"/>
      <c r="E731" s="125"/>
      <c r="F731" s="125"/>
      <c r="H731" s="125"/>
      <c r="J731" s="125"/>
    </row>
    <row r="732">
      <c r="D732" s="125"/>
      <c r="E732" s="125"/>
      <c r="F732" s="125"/>
      <c r="H732" s="125"/>
      <c r="J732" s="125"/>
    </row>
    <row r="733">
      <c r="D733" s="125"/>
      <c r="E733" s="125"/>
      <c r="F733" s="125"/>
      <c r="H733" s="125"/>
      <c r="J733" s="125"/>
    </row>
    <row r="734">
      <c r="D734" s="125"/>
      <c r="E734" s="125"/>
      <c r="F734" s="125"/>
      <c r="H734" s="125"/>
      <c r="J734" s="125"/>
    </row>
    <row r="735">
      <c r="D735" s="125"/>
      <c r="E735" s="125"/>
      <c r="F735" s="125"/>
      <c r="H735" s="125"/>
      <c r="J735" s="125"/>
    </row>
    <row r="736">
      <c r="D736" s="125"/>
      <c r="E736" s="125"/>
      <c r="F736" s="125"/>
      <c r="H736" s="125"/>
      <c r="J736" s="125"/>
    </row>
    <row r="737">
      <c r="D737" s="125"/>
      <c r="E737" s="125"/>
      <c r="F737" s="125"/>
      <c r="H737" s="125"/>
      <c r="J737" s="125"/>
    </row>
    <row r="738">
      <c r="D738" s="125"/>
      <c r="E738" s="125"/>
      <c r="F738" s="125"/>
      <c r="H738" s="125"/>
      <c r="J738" s="125"/>
    </row>
    <row r="739">
      <c r="D739" s="125"/>
      <c r="E739" s="125"/>
      <c r="F739" s="125"/>
      <c r="H739" s="125"/>
      <c r="J739" s="125"/>
    </row>
    <row r="740">
      <c r="D740" s="125"/>
      <c r="E740" s="125"/>
      <c r="F740" s="125"/>
      <c r="H740" s="125"/>
      <c r="J740" s="125"/>
    </row>
    <row r="741">
      <c r="D741" s="125"/>
      <c r="E741" s="125"/>
      <c r="F741" s="125"/>
      <c r="H741" s="125"/>
      <c r="J741" s="125"/>
    </row>
    <row r="742">
      <c r="D742" s="125"/>
      <c r="E742" s="125"/>
      <c r="F742" s="125"/>
      <c r="H742" s="125"/>
      <c r="J742" s="125"/>
    </row>
    <row r="743">
      <c r="D743" s="125"/>
      <c r="E743" s="125"/>
      <c r="F743" s="125"/>
      <c r="H743" s="125"/>
      <c r="J743" s="125"/>
    </row>
    <row r="744">
      <c r="D744" s="125"/>
      <c r="E744" s="125"/>
      <c r="F744" s="125"/>
      <c r="H744" s="125"/>
      <c r="J744" s="125"/>
    </row>
    <row r="745">
      <c r="D745" s="125"/>
      <c r="E745" s="125"/>
      <c r="F745" s="125"/>
      <c r="H745" s="125"/>
      <c r="J745" s="125"/>
    </row>
    <row r="746">
      <c r="D746" s="125"/>
      <c r="E746" s="125"/>
      <c r="F746" s="125"/>
      <c r="H746" s="125"/>
      <c r="J746" s="125"/>
    </row>
    <row r="747">
      <c r="D747" s="125"/>
      <c r="E747" s="125"/>
      <c r="F747" s="125"/>
      <c r="H747" s="125"/>
      <c r="J747" s="125"/>
    </row>
    <row r="748">
      <c r="D748" s="125"/>
      <c r="E748" s="125"/>
      <c r="F748" s="125"/>
      <c r="H748" s="125"/>
      <c r="J748" s="125"/>
    </row>
    <row r="749">
      <c r="D749" s="125"/>
      <c r="E749" s="125"/>
      <c r="F749" s="125"/>
      <c r="H749" s="125"/>
      <c r="J749" s="125"/>
    </row>
    <row r="750">
      <c r="D750" s="125"/>
      <c r="E750" s="125"/>
      <c r="F750" s="125"/>
      <c r="H750" s="125"/>
      <c r="J750" s="125"/>
    </row>
    <row r="751">
      <c r="D751" s="125"/>
      <c r="E751" s="125"/>
      <c r="F751" s="125"/>
      <c r="H751" s="125"/>
      <c r="J751" s="125"/>
    </row>
    <row r="752">
      <c r="D752" s="125"/>
      <c r="E752" s="125"/>
      <c r="F752" s="125"/>
      <c r="H752" s="125"/>
      <c r="J752" s="125"/>
    </row>
    <row r="753">
      <c r="D753" s="125"/>
      <c r="E753" s="125"/>
      <c r="F753" s="125"/>
      <c r="H753" s="125"/>
      <c r="J753" s="125"/>
    </row>
    <row r="754">
      <c r="D754" s="125"/>
      <c r="E754" s="125"/>
      <c r="F754" s="125"/>
      <c r="H754" s="125"/>
      <c r="J754" s="125"/>
    </row>
    <row r="755">
      <c r="D755" s="125"/>
      <c r="E755" s="125"/>
      <c r="F755" s="125"/>
      <c r="H755" s="125"/>
      <c r="J755" s="125"/>
    </row>
    <row r="756">
      <c r="D756" s="125"/>
      <c r="E756" s="125"/>
      <c r="F756" s="125"/>
      <c r="H756" s="125"/>
      <c r="J756" s="125"/>
    </row>
    <row r="757">
      <c r="D757" s="125"/>
      <c r="E757" s="125"/>
      <c r="F757" s="125"/>
      <c r="H757" s="125"/>
      <c r="J757" s="125"/>
    </row>
    <row r="758">
      <c r="D758" s="125"/>
      <c r="E758" s="125"/>
      <c r="F758" s="125"/>
      <c r="H758" s="125"/>
      <c r="J758" s="125"/>
    </row>
    <row r="759">
      <c r="D759" s="125"/>
      <c r="E759" s="125"/>
      <c r="F759" s="125"/>
      <c r="H759" s="125"/>
      <c r="J759" s="125"/>
    </row>
    <row r="760">
      <c r="D760" s="125"/>
      <c r="E760" s="125"/>
      <c r="F760" s="125"/>
      <c r="H760" s="125"/>
      <c r="J760" s="125"/>
    </row>
    <row r="761">
      <c r="D761" s="125"/>
      <c r="E761" s="125"/>
      <c r="F761" s="125"/>
      <c r="H761" s="125"/>
      <c r="J761" s="125"/>
    </row>
    <row r="762">
      <c r="D762" s="125"/>
      <c r="E762" s="125"/>
      <c r="F762" s="125"/>
      <c r="H762" s="125"/>
      <c r="J762" s="125"/>
    </row>
    <row r="763">
      <c r="D763" s="125"/>
      <c r="E763" s="125"/>
      <c r="F763" s="125"/>
      <c r="H763" s="125"/>
      <c r="J763" s="125"/>
    </row>
    <row r="764">
      <c r="D764" s="125"/>
      <c r="E764" s="125"/>
      <c r="F764" s="125"/>
      <c r="H764" s="125"/>
      <c r="J764" s="125"/>
    </row>
    <row r="765">
      <c r="D765" s="125"/>
      <c r="E765" s="125"/>
      <c r="F765" s="125"/>
      <c r="H765" s="125"/>
      <c r="J765" s="125"/>
    </row>
    <row r="766">
      <c r="D766" s="125"/>
      <c r="E766" s="125"/>
      <c r="F766" s="125"/>
      <c r="H766" s="125"/>
      <c r="J766" s="125"/>
    </row>
    <row r="767">
      <c r="D767" s="125"/>
      <c r="E767" s="125"/>
      <c r="F767" s="125"/>
      <c r="H767" s="125"/>
      <c r="J767" s="125"/>
    </row>
    <row r="768">
      <c r="D768" s="125"/>
      <c r="E768" s="125"/>
      <c r="F768" s="125"/>
      <c r="H768" s="125"/>
      <c r="J768" s="125"/>
    </row>
    <row r="769">
      <c r="D769" s="125"/>
      <c r="E769" s="125"/>
      <c r="F769" s="125"/>
      <c r="H769" s="125"/>
      <c r="J769" s="125"/>
    </row>
    <row r="770">
      <c r="D770" s="125"/>
      <c r="E770" s="125"/>
      <c r="F770" s="125"/>
      <c r="H770" s="125"/>
      <c r="J770" s="125"/>
    </row>
    <row r="771">
      <c r="D771" s="125"/>
      <c r="E771" s="125"/>
      <c r="F771" s="125"/>
      <c r="H771" s="125"/>
      <c r="J771" s="125"/>
    </row>
    <row r="772">
      <c r="D772" s="125"/>
      <c r="E772" s="125"/>
      <c r="F772" s="125"/>
      <c r="H772" s="125"/>
      <c r="J772" s="125"/>
    </row>
    <row r="773">
      <c r="D773" s="125"/>
      <c r="E773" s="125"/>
      <c r="F773" s="125"/>
      <c r="H773" s="125"/>
      <c r="J773" s="125"/>
    </row>
    <row r="774">
      <c r="D774" s="125"/>
      <c r="E774" s="125"/>
      <c r="F774" s="125"/>
      <c r="H774" s="125"/>
      <c r="J774" s="125"/>
    </row>
    <row r="775">
      <c r="D775" s="125"/>
      <c r="E775" s="125"/>
      <c r="F775" s="125"/>
      <c r="H775" s="125"/>
      <c r="J775" s="125"/>
    </row>
    <row r="776">
      <c r="D776" s="125"/>
      <c r="E776" s="125"/>
      <c r="F776" s="125"/>
      <c r="H776" s="125"/>
      <c r="J776" s="125"/>
    </row>
    <row r="777">
      <c r="D777" s="125"/>
      <c r="E777" s="125"/>
      <c r="F777" s="125"/>
      <c r="H777" s="125"/>
      <c r="J777" s="125"/>
    </row>
    <row r="778">
      <c r="D778" s="125"/>
      <c r="E778" s="125"/>
      <c r="F778" s="125"/>
      <c r="H778" s="125"/>
      <c r="J778" s="125"/>
    </row>
    <row r="779">
      <c r="D779" s="125"/>
      <c r="E779" s="125"/>
      <c r="F779" s="125"/>
      <c r="H779" s="125"/>
      <c r="J779" s="125"/>
    </row>
    <row r="780">
      <c r="D780" s="125"/>
      <c r="E780" s="125"/>
      <c r="F780" s="125"/>
      <c r="H780" s="125"/>
      <c r="J780" s="125"/>
    </row>
    <row r="781">
      <c r="D781" s="125"/>
      <c r="E781" s="125"/>
      <c r="F781" s="125"/>
      <c r="H781" s="125"/>
      <c r="J781" s="125"/>
    </row>
    <row r="782">
      <c r="D782" s="125"/>
      <c r="E782" s="125"/>
      <c r="F782" s="125"/>
      <c r="H782" s="125"/>
      <c r="J782" s="125"/>
    </row>
    <row r="783">
      <c r="D783" s="125"/>
      <c r="E783" s="125"/>
      <c r="F783" s="125"/>
      <c r="H783" s="125"/>
      <c r="J783" s="125"/>
    </row>
    <row r="784">
      <c r="D784" s="125"/>
      <c r="E784" s="125"/>
      <c r="F784" s="125"/>
      <c r="H784" s="125"/>
      <c r="J784" s="125"/>
    </row>
    <row r="785">
      <c r="D785" s="125"/>
      <c r="E785" s="125"/>
      <c r="F785" s="125"/>
      <c r="H785" s="125"/>
      <c r="J785" s="125"/>
    </row>
    <row r="786">
      <c r="D786" s="125"/>
      <c r="E786" s="125"/>
      <c r="F786" s="125"/>
      <c r="H786" s="125"/>
      <c r="J786" s="125"/>
    </row>
    <row r="787">
      <c r="D787" s="125"/>
      <c r="E787" s="125"/>
      <c r="F787" s="125"/>
      <c r="H787" s="125"/>
      <c r="J787" s="125"/>
    </row>
    <row r="788">
      <c r="D788" s="125"/>
      <c r="E788" s="125"/>
      <c r="F788" s="125"/>
      <c r="H788" s="125"/>
      <c r="J788" s="125"/>
    </row>
    <row r="789">
      <c r="D789" s="125"/>
      <c r="E789" s="125"/>
      <c r="F789" s="125"/>
      <c r="H789" s="125"/>
      <c r="J789" s="125"/>
    </row>
    <row r="790">
      <c r="D790" s="125"/>
      <c r="E790" s="125"/>
      <c r="F790" s="125"/>
      <c r="H790" s="125"/>
      <c r="J790" s="125"/>
    </row>
    <row r="791">
      <c r="D791" s="125"/>
      <c r="E791" s="125"/>
      <c r="F791" s="125"/>
      <c r="H791" s="125"/>
      <c r="J791" s="125"/>
    </row>
    <row r="792">
      <c r="D792" s="125"/>
      <c r="E792" s="125"/>
      <c r="F792" s="125"/>
      <c r="H792" s="125"/>
      <c r="J792" s="125"/>
    </row>
    <row r="793">
      <c r="D793" s="125"/>
      <c r="E793" s="125"/>
      <c r="F793" s="125"/>
      <c r="H793" s="125"/>
      <c r="J793" s="125"/>
    </row>
    <row r="794">
      <c r="D794" s="125"/>
      <c r="E794" s="125"/>
      <c r="F794" s="125"/>
      <c r="H794" s="125"/>
      <c r="J794" s="125"/>
    </row>
    <row r="795">
      <c r="D795" s="125"/>
      <c r="E795" s="125"/>
      <c r="F795" s="125"/>
      <c r="H795" s="125"/>
      <c r="J795" s="125"/>
    </row>
    <row r="796">
      <c r="D796" s="125"/>
      <c r="E796" s="125"/>
      <c r="F796" s="125"/>
      <c r="H796" s="125"/>
      <c r="J796" s="125"/>
    </row>
    <row r="797">
      <c r="D797" s="125"/>
      <c r="E797" s="125"/>
      <c r="F797" s="125"/>
      <c r="H797" s="125"/>
      <c r="J797" s="125"/>
    </row>
    <row r="798">
      <c r="D798" s="125"/>
      <c r="E798" s="125"/>
      <c r="F798" s="125"/>
      <c r="H798" s="125"/>
      <c r="J798" s="125"/>
    </row>
    <row r="799">
      <c r="D799" s="125"/>
      <c r="E799" s="125"/>
      <c r="F799" s="125"/>
      <c r="H799" s="125"/>
      <c r="J799" s="125"/>
    </row>
    <row r="800">
      <c r="D800" s="125"/>
      <c r="E800" s="125"/>
      <c r="F800" s="125"/>
      <c r="H800" s="125"/>
      <c r="J800" s="125"/>
    </row>
    <row r="801">
      <c r="D801" s="125"/>
      <c r="E801" s="125"/>
      <c r="F801" s="125"/>
      <c r="H801" s="125"/>
      <c r="J801" s="125"/>
    </row>
    <row r="802">
      <c r="D802" s="125"/>
      <c r="E802" s="125"/>
      <c r="F802" s="125"/>
      <c r="H802" s="125"/>
      <c r="J802" s="125"/>
    </row>
    <row r="803">
      <c r="D803" s="125"/>
      <c r="E803" s="125"/>
      <c r="F803" s="125"/>
      <c r="H803" s="125"/>
      <c r="J803" s="125"/>
    </row>
    <row r="804">
      <c r="D804" s="125"/>
      <c r="E804" s="125"/>
      <c r="F804" s="125"/>
      <c r="H804" s="125"/>
      <c r="J804" s="125"/>
    </row>
    <row r="805">
      <c r="D805" s="125"/>
      <c r="E805" s="125"/>
      <c r="F805" s="125"/>
      <c r="H805" s="125"/>
      <c r="J805" s="125"/>
    </row>
    <row r="806">
      <c r="D806" s="125"/>
      <c r="E806" s="125"/>
      <c r="F806" s="125"/>
      <c r="H806" s="125"/>
      <c r="J806" s="125"/>
    </row>
    <row r="807">
      <c r="D807" s="125"/>
      <c r="E807" s="125"/>
      <c r="F807" s="125"/>
      <c r="H807" s="125"/>
      <c r="J807" s="125"/>
    </row>
    <row r="808">
      <c r="D808" s="125"/>
      <c r="E808" s="125"/>
      <c r="F808" s="125"/>
      <c r="H808" s="125"/>
      <c r="J808" s="125"/>
    </row>
    <row r="809">
      <c r="D809" s="125"/>
      <c r="E809" s="125"/>
      <c r="F809" s="125"/>
      <c r="H809" s="125"/>
      <c r="J809" s="125"/>
    </row>
    <row r="810">
      <c r="D810" s="125"/>
      <c r="E810" s="125"/>
      <c r="F810" s="125"/>
      <c r="H810" s="125"/>
      <c r="J810" s="125"/>
    </row>
    <row r="811">
      <c r="D811" s="125"/>
      <c r="E811" s="125"/>
      <c r="F811" s="125"/>
      <c r="H811" s="125"/>
      <c r="J811" s="125"/>
    </row>
    <row r="812">
      <c r="D812" s="125"/>
      <c r="E812" s="125"/>
      <c r="F812" s="125"/>
      <c r="H812" s="125"/>
      <c r="J812" s="125"/>
    </row>
    <row r="813">
      <c r="D813" s="125"/>
      <c r="E813" s="125"/>
      <c r="F813" s="125"/>
      <c r="H813" s="125"/>
      <c r="J813" s="125"/>
    </row>
    <row r="814">
      <c r="D814" s="125"/>
      <c r="E814" s="125"/>
      <c r="F814" s="125"/>
      <c r="H814" s="125"/>
      <c r="J814" s="125"/>
    </row>
    <row r="815">
      <c r="D815" s="125"/>
      <c r="E815" s="125"/>
      <c r="F815" s="125"/>
      <c r="H815" s="125"/>
      <c r="J815" s="125"/>
    </row>
    <row r="816">
      <c r="D816" s="125"/>
      <c r="E816" s="125"/>
      <c r="F816" s="125"/>
      <c r="H816" s="125"/>
      <c r="J816" s="125"/>
    </row>
    <row r="817">
      <c r="D817" s="125"/>
      <c r="E817" s="125"/>
      <c r="F817" s="125"/>
      <c r="H817" s="125"/>
      <c r="J817" s="125"/>
    </row>
    <row r="818">
      <c r="D818" s="125"/>
      <c r="E818" s="125"/>
      <c r="F818" s="125"/>
      <c r="H818" s="125"/>
      <c r="J818" s="125"/>
    </row>
    <row r="819">
      <c r="D819" s="125"/>
      <c r="E819" s="125"/>
      <c r="F819" s="125"/>
      <c r="H819" s="125"/>
      <c r="J819" s="125"/>
    </row>
    <row r="820">
      <c r="D820" s="125"/>
      <c r="E820" s="125"/>
      <c r="F820" s="125"/>
      <c r="H820" s="125"/>
      <c r="J820" s="125"/>
    </row>
    <row r="821">
      <c r="D821" s="125"/>
      <c r="E821" s="125"/>
      <c r="F821" s="125"/>
      <c r="H821" s="125"/>
      <c r="J821" s="125"/>
    </row>
    <row r="822">
      <c r="D822" s="125"/>
      <c r="E822" s="125"/>
      <c r="F822" s="125"/>
      <c r="H822" s="125"/>
      <c r="J822" s="125"/>
    </row>
    <row r="823">
      <c r="D823" s="125"/>
      <c r="E823" s="125"/>
      <c r="F823" s="125"/>
      <c r="H823" s="125"/>
      <c r="J823" s="125"/>
    </row>
    <row r="824">
      <c r="D824" s="125"/>
      <c r="E824" s="125"/>
      <c r="F824" s="125"/>
      <c r="H824" s="125"/>
      <c r="J824" s="125"/>
    </row>
    <row r="825">
      <c r="D825" s="125"/>
      <c r="E825" s="125"/>
      <c r="F825" s="125"/>
      <c r="H825" s="125"/>
      <c r="J825" s="125"/>
    </row>
    <row r="826">
      <c r="D826" s="125"/>
      <c r="E826" s="125"/>
      <c r="F826" s="125"/>
      <c r="H826" s="125"/>
      <c r="J826" s="125"/>
    </row>
    <row r="827">
      <c r="D827" s="125"/>
      <c r="E827" s="125"/>
      <c r="F827" s="125"/>
      <c r="H827" s="125"/>
      <c r="J827" s="125"/>
    </row>
    <row r="828">
      <c r="D828" s="125"/>
      <c r="E828" s="125"/>
      <c r="F828" s="125"/>
      <c r="H828" s="125"/>
      <c r="J828" s="125"/>
    </row>
    <row r="829">
      <c r="D829" s="125"/>
      <c r="E829" s="125"/>
      <c r="F829" s="125"/>
      <c r="H829" s="125"/>
      <c r="J829" s="125"/>
    </row>
    <row r="830">
      <c r="D830" s="125"/>
      <c r="E830" s="125"/>
      <c r="F830" s="125"/>
      <c r="H830" s="125"/>
      <c r="J830" s="125"/>
    </row>
    <row r="831">
      <c r="D831" s="125"/>
      <c r="E831" s="125"/>
      <c r="F831" s="125"/>
      <c r="H831" s="125"/>
      <c r="J831" s="125"/>
    </row>
    <row r="832">
      <c r="D832" s="125"/>
      <c r="E832" s="125"/>
      <c r="F832" s="125"/>
      <c r="H832" s="125"/>
      <c r="J832" s="125"/>
    </row>
    <row r="833">
      <c r="D833" s="125"/>
      <c r="E833" s="125"/>
      <c r="F833" s="125"/>
      <c r="H833" s="125"/>
      <c r="J833" s="125"/>
    </row>
    <row r="834">
      <c r="D834" s="125"/>
      <c r="E834" s="125"/>
      <c r="F834" s="125"/>
      <c r="H834" s="125"/>
      <c r="J834" s="125"/>
    </row>
    <row r="835">
      <c r="D835" s="125"/>
      <c r="E835" s="125"/>
      <c r="F835" s="125"/>
      <c r="H835" s="125"/>
      <c r="J835" s="125"/>
    </row>
    <row r="836">
      <c r="D836" s="125"/>
      <c r="E836" s="125"/>
      <c r="F836" s="125"/>
      <c r="H836" s="125"/>
      <c r="J836" s="125"/>
    </row>
    <row r="837">
      <c r="D837" s="125"/>
      <c r="E837" s="125"/>
      <c r="F837" s="125"/>
      <c r="H837" s="125"/>
      <c r="J837" s="125"/>
    </row>
    <row r="838">
      <c r="D838" s="125"/>
      <c r="E838" s="125"/>
      <c r="F838" s="125"/>
      <c r="H838" s="125"/>
      <c r="J838" s="125"/>
    </row>
    <row r="839">
      <c r="D839" s="125"/>
      <c r="E839" s="125"/>
      <c r="F839" s="125"/>
      <c r="H839" s="125"/>
      <c r="J839" s="125"/>
    </row>
    <row r="840">
      <c r="D840" s="125"/>
      <c r="E840" s="125"/>
      <c r="F840" s="125"/>
      <c r="H840" s="125"/>
      <c r="J840" s="125"/>
    </row>
    <row r="841">
      <c r="D841" s="125"/>
      <c r="E841" s="125"/>
      <c r="F841" s="125"/>
      <c r="H841" s="125"/>
      <c r="J841" s="125"/>
    </row>
    <row r="842">
      <c r="D842" s="125"/>
      <c r="E842" s="125"/>
      <c r="F842" s="125"/>
      <c r="H842" s="125"/>
      <c r="J842" s="125"/>
    </row>
    <row r="843">
      <c r="D843" s="125"/>
      <c r="E843" s="125"/>
      <c r="F843" s="125"/>
      <c r="H843" s="125"/>
      <c r="J843" s="125"/>
    </row>
    <row r="844">
      <c r="D844" s="125"/>
      <c r="E844" s="125"/>
      <c r="F844" s="125"/>
      <c r="H844" s="125"/>
      <c r="J844" s="125"/>
    </row>
    <row r="845">
      <c r="D845" s="125"/>
      <c r="E845" s="125"/>
      <c r="F845" s="125"/>
      <c r="H845" s="125"/>
      <c r="J845" s="125"/>
    </row>
    <row r="846">
      <c r="D846" s="125"/>
      <c r="E846" s="125"/>
      <c r="F846" s="125"/>
      <c r="H846" s="125"/>
      <c r="J846" s="125"/>
    </row>
    <row r="847">
      <c r="D847" s="125"/>
      <c r="E847" s="125"/>
      <c r="F847" s="125"/>
      <c r="H847" s="125"/>
      <c r="J847" s="125"/>
    </row>
    <row r="848">
      <c r="D848" s="125"/>
      <c r="E848" s="125"/>
      <c r="F848" s="125"/>
      <c r="H848" s="125"/>
      <c r="J848" s="125"/>
    </row>
    <row r="849">
      <c r="D849" s="125"/>
      <c r="E849" s="125"/>
      <c r="F849" s="125"/>
      <c r="H849" s="125"/>
      <c r="J849" s="125"/>
    </row>
    <row r="850">
      <c r="D850" s="125"/>
      <c r="E850" s="125"/>
      <c r="F850" s="125"/>
      <c r="H850" s="125"/>
      <c r="J850" s="125"/>
    </row>
    <row r="851">
      <c r="D851" s="125"/>
      <c r="E851" s="125"/>
      <c r="F851" s="125"/>
      <c r="H851" s="125"/>
      <c r="J851" s="125"/>
    </row>
    <row r="852">
      <c r="D852" s="125"/>
      <c r="E852" s="125"/>
      <c r="F852" s="125"/>
      <c r="H852" s="125"/>
      <c r="J852" s="125"/>
    </row>
    <row r="853">
      <c r="D853" s="125"/>
      <c r="E853" s="125"/>
      <c r="F853" s="125"/>
      <c r="H853" s="125"/>
      <c r="J853" s="125"/>
    </row>
    <row r="854">
      <c r="D854" s="125"/>
      <c r="E854" s="125"/>
      <c r="F854" s="125"/>
      <c r="H854" s="125"/>
      <c r="J854" s="125"/>
    </row>
    <row r="855">
      <c r="D855" s="125"/>
      <c r="E855" s="125"/>
      <c r="F855" s="125"/>
      <c r="H855" s="125"/>
      <c r="J855" s="125"/>
    </row>
    <row r="856">
      <c r="D856" s="125"/>
      <c r="E856" s="125"/>
      <c r="F856" s="125"/>
      <c r="H856" s="125"/>
      <c r="J856" s="125"/>
    </row>
    <row r="857">
      <c r="D857" s="125"/>
      <c r="E857" s="125"/>
      <c r="F857" s="125"/>
      <c r="H857" s="125"/>
      <c r="J857" s="125"/>
    </row>
    <row r="858">
      <c r="D858" s="125"/>
      <c r="E858" s="125"/>
      <c r="F858" s="125"/>
      <c r="H858" s="125"/>
      <c r="J858" s="125"/>
    </row>
    <row r="859">
      <c r="D859" s="125"/>
      <c r="E859" s="125"/>
      <c r="F859" s="125"/>
      <c r="H859" s="125"/>
      <c r="J859" s="125"/>
    </row>
    <row r="860">
      <c r="D860" s="125"/>
      <c r="E860" s="125"/>
      <c r="F860" s="125"/>
      <c r="H860" s="125"/>
      <c r="J860" s="125"/>
    </row>
    <row r="861">
      <c r="D861" s="125"/>
      <c r="E861" s="125"/>
      <c r="F861" s="125"/>
      <c r="H861" s="125"/>
      <c r="J861" s="125"/>
    </row>
    <row r="862">
      <c r="D862" s="125"/>
      <c r="E862" s="125"/>
      <c r="F862" s="125"/>
      <c r="H862" s="125"/>
      <c r="J862" s="125"/>
    </row>
    <row r="863">
      <c r="D863" s="125"/>
      <c r="E863" s="125"/>
      <c r="F863" s="125"/>
      <c r="H863" s="125"/>
      <c r="J863" s="125"/>
    </row>
    <row r="864">
      <c r="D864" s="125"/>
      <c r="E864" s="125"/>
      <c r="F864" s="125"/>
      <c r="H864" s="125"/>
      <c r="J864" s="125"/>
    </row>
    <row r="865">
      <c r="D865" s="125"/>
      <c r="E865" s="125"/>
      <c r="F865" s="125"/>
      <c r="H865" s="125"/>
      <c r="J865" s="125"/>
    </row>
    <row r="866">
      <c r="D866" s="125"/>
      <c r="E866" s="125"/>
      <c r="F866" s="125"/>
      <c r="H866" s="125"/>
      <c r="J866" s="125"/>
    </row>
    <row r="867">
      <c r="D867" s="125"/>
      <c r="E867" s="125"/>
      <c r="F867" s="125"/>
      <c r="H867" s="125"/>
      <c r="J867" s="125"/>
    </row>
    <row r="868">
      <c r="D868" s="125"/>
      <c r="E868" s="125"/>
      <c r="F868" s="125"/>
      <c r="H868" s="125"/>
      <c r="J868" s="125"/>
    </row>
    <row r="869">
      <c r="D869" s="125"/>
      <c r="E869" s="125"/>
      <c r="F869" s="125"/>
      <c r="H869" s="125"/>
      <c r="J869" s="125"/>
    </row>
    <row r="870">
      <c r="D870" s="125"/>
      <c r="E870" s="125"/>
      <c r="F870" s="125"/>
      <c r="H870" s="125"/>
      <c r="J870" s="125"/>
    </row>
    <row r="871">
      <c r="D871" s="125"/>
      <c r="E871" s="125"/>
      <c r="F871" s="125"/>
      <c r="H871" s="125"/>
      <c r="J871" s="125"/>
    </row>
    <row r="872">
      <c r="D872" s="125"/>
      <c r="E872" s="125"/>
      <c r="F872" s="125"/>
      <c r="H872" s="125"/>
      <c r="J872" s="125"/>
    </row>
    <row r="873">
      <c r="D873" s="125"/>
      <c r="E873" s="125"/>
      <c r="F873" s="125"/>
      <c r="H873" s="125"/>
      <c r="J873" s="125"/>
    </row>
    <row r="874">
      <c r="D874" s="125"/>
      <c r="E874" s="125"/>
      <c r="F874" s="125"/>
      <c r="H874" s="125"/>
      <c r="J874" s="125"/>
    </row>
    <row r="875">
      <c r="D875" s="125"/>
      <c r="E875" s="125"/>
      <c r="F875" s="125"/>
      <c r="H875" s="125"/>
      <c r="J875" s="125"/>
    </row>
    <row r="876">
      <c r="D876" s="125"/>
      <c r="E876" s="125"/>
      <c r="F876" s="125"/>
      <c r="H876" s="125"/>
      <c r="J876" s="125"/>
    </row>
    <row r="877">
      <c r="D877" s="125"/>
      <c r="E877" s="125"/>
      <c r="F877" s="125"/>
      <c r="H877" s="125"/>
      <c r="J877" s="125"/>
    </row>
    <row r="878">
      <c r="D878" s="125"/>
      <c r="E878" s="125"/>
      <c r="F878" s="125"/>
      <c r="H878" s="125"/>
      <c r="J878" s="125"/>
    </row>
    <row r="879">
      <c r="D879" s="125"/>
      <c r="E879" s="125"/>
      <c r="F879" s="125"/>
      <c r="H879" s="125"/>
      <c r="J879" s="125"/>
    </row>
    <row r="880">
      <c r="D880" s="125"/>
      <c r="E880" s="125"/>
      <c r="F880" s="125"/>
      <c r="H880" s="125"/>
      <c r="J880" s="125"/>
    </row>
    <row r="881">
      <c r="D881" s="125"/>
      <c r="E881" s="125"/>
      <c r="F881" s="125"/>
      <c r="H881" s="125"/>
      <c r="J881" s="125"/>
    </row>
    <row r="882">
      <c r="D882" s="125"/>
      <c r="E882" s="125"/>
      <c r="F882" s="125"/>
      <c r="H882" s="125"/>
      <c r="J882" s="125"/>
    </row>
    <row r="883">
      <c r="D883" s="125"/>
      <c r="E883" s="125"/>
      <c r="F883" s="125"/>
      <c r="H883" s="125"/>
      <c r="J883" s="125"/>
    </row>
    <row r="884">
      <c r="D884" s="125"/>
      <c r="E884" s="125"/>
      <c r="F884" s="125"/>
      <c r="H884" s="125"/>
      <c r="J884" s="125"/>
    </row>
    <row r="885">
      <c r="D885" s="125"/>
      <c r="E885" s="125"/>
      <c r="F885" s="125"/>
      <c r="H885" s="125"/>
      <c r="J885" s="125"/>
    </row>
    <row r="886">
      <c r="D886" s="125"/>
      <c r="E886" s="125"/>
      <c r="F886" s="125"/>
      <c r="H886" s="125"/>
      <c r="J886" s="125"/>
    </row>
    <row r="887">
      <c r="D887" s="125"/>
      <c r="E887" s="125"/>
      <c r="F887" s="125"/>
      <c r="H887" s="125"/>
      <c r="J887" s="125"/>
    </row>
    <row r="888">
      <c r="D888" s="125"/>
      <c r="E888" s="125"/>
      <c r="F888" s="125"/>
      <c r="H888" s="125"/>
      <c r="J888" s="125"/>
    </row>
    <row r="889">
      <c r="D889" s="125"/>
      <c r="E889" s="125"/>
      <c r="F889" s="125"/>
      <c r="H889" s="125"/>
      <c r="J889" s="125"/>
    </row>
    <row r="890">
      <c r="D890" s="125"/>
      <c r="E890" s="125"/>
      <c r="F890" s="125"/>
      <c r="H890" s="125"/>
      <c r="J890" s="125"/>
    </row>
    <row r="891">
      <c r="D891" s="125"/>
      <c r="E891" s="125"/>
      <c r="F891" s="125"/>
      <c r="H891" s="125"/>
      <c r="J891" s="125"/>
    </row>
    <row r="892">
      <c r="D892" s="125"/>
      <c r="E892" s="125"/>
      <c r="F892" s="125"/>
      <c r="H892" s="125"/>
      <c r="J892" s="125"/>
    </row>
    <row r="893">
      <c r="D893" s="125"/>
      <c r="E893" s="125"/>
      <c r="F893" s="125"/>
      <c r="H893" s="125"/>
      <c r="J893" s="125"/>
    </row>
    <row r="894">
      <c r="D894" s="125"/>
      <c r="E894" s="125"/>
      <c r="F894" s="125"/>
      <c r="H894" s="125"/>
      <c r="J894" s="125"/>
    </row>
    <row r="895">
      <c r="D895" s="125"/>
      <c r="E895" s="125"/>
      <c r="F895" s="125"/>
      <c r="H895" s="125"/>
      <c r="J895" s="125"/>
    </row>
    <row r="896">
      <c r="D896" s="125"/>
      <c r="E896" s="125"/>
      <c r="F896" s="125"/>
      <c r="H896" s="125"/>
      <c r="J896" s="125"/>
    </row>
    <row r="897">
      <c r="D897" s="125"/>
      <c r="E897" s="125"/>
      <c r="F897" s="125"/>
      <c r="H897" s="125"/>
      <c r="J897" s="125"/>
    </row>
    <row r="898">
      <c r="D898" s="125"/>
      <c r="E898" s="125"/>
      <c r="F898" s="125"/>
      <c r="H898" s="125"/>
      <c r="J898" s="125"/>
    </row>
    <row r="899">
      <c r="D899" s="125"/>
      <c r="E899" s="125"/>
      <c r="F899" s="125"/>
      <c r="H899" s="125"/>
      <c r="J899" s="125"/>
    </row>
    <row r="900">
      <c r="D900" s="125"/>
      <c r="E900" s="125"/>
      <c r="F900" s="125"/>
      <c r="H900" s="125"/>
      <c r="J900" s="125"/>
    </row>
    <row r="901">
      <c r="D901" s="125"/>
      <c r="E901" s="125"/>
      <c r="F901" s="125"/>
      <c r="H901" s="125"/>
      <c r="J901" s="125"/>
    </row>
    <row r="902">
      <c r="D902" s="125"/>
      <c r="E902" s="125"/>
      <c r="F902" s="125"/>
      <c r="H902" s="125"/>
      <c r="J902" s="125"/>
    </row>
    <row r="903">
      <c r="D903" s="125"/>
      <c r="E903" s="125"/>
      <c r="F903" s="125"/>
      <c r="H903" s="125"/>
      <c r="J903" s="125"/>
    </row>
    <row r="904">
      <c r="D904" s="125"/>
      <c r="E904" s="125"/>
      <c r="F904" s="125"/>
      <c r="H904" s="125"/>
      <c r="J904" s="125"/>
    </row>
    <row r="905">
      <c r="D905" s="125"/>
      <c r="E905" s="125"/>
      <c r="F905" s="125"/>
      <c r="H905" s="125"/>
      <c r="J905" s="125"/>
    </row>
    <row r="906">
      <c r="D906" s="125"/>
      <c r="E906" s="125"/>
      <c r="F906" s="125"/>
      <c r="H906" s="125"/>
      <c r="J906" s="125"/>
    </row>
    <row r="907">
      <c r="D907" s="125"/>
      <c r="E907" s="125"/>
      <c r="F907" s="125"/>
      <c r="H907" s="125"/>
      <c r="J907" s="125"/>
    </row>
    <row r="908">
      <c r="D908" s="125"/>
      <c r="E908" s="125"/>
      <c r="F908" s="125"/>
      <c r="H908" s="125"/>
      <c r="J908" s="125"/>
    </row>
    <row r="909">
      <c r="D909" s="125"/>
      <c r="E909" s="125"/>
      <c r="F909" s="125"/>
      <c r="H909" s="125"/>
      <c r="J909" s="125"/>
    </row>
    <row r="910">
      <c r="D910" s="125"/>
      <c r="E910" s="125"/>
      <c r="F910" s="125"/>
      <c r="H910" s="125"/>
      <c r="J910" s="125"/>
    </row>
    <row r="911">
      <c r="D911" s="125"/>
      <c r="E911" s="125"/>
      <c r="F911" s="125"/>
      <c r="H911" s="125"/>
      <c r="J911" s="125"/>
    </row>
    <row r="912">
      <c r="D912" s="125"/>
      <c r="E912" s="125"/>
      <c r="F912" s="125"/>
      <c r="H912" s="125"/>
      <c r="J912" s="125"/>
    </row>
    <row r="913">
      <c r="D913" s="125"/>
      <c r="E913" s="125"/>
      <c r="F913" s="125"/>
      <c r="H913" s="125"/>
      <c r="J913" s="125"/>
    </row>
    <row r="914">
      <c r="D914" s="125"/>
      <c r="E914" s="125"/>
      <c r="F914" s="125"/>
      <c r="H914" s="125"/>
      <c r="J914" s="125"/>
    </row>
    <row r="915">
      <c r="D915" s="125"/>
      <c r="E915" s="125"/>
      <c r="F915" s="125"/>
      <c r="H915" s="125"/>
      <c r="J915" s="125"/>
    </row>
    <row r="916">
      <c r="D916" s="125"/>
      <c r="E916" s="125"/>
      <c r="F916" s="125"/>
      <c r="H916" s="125"/>
      <c r="J916" s="125"/>
    </row>
    <row r="917">
      <c r="D917" s="125"/>
      <c r="E917" s="125"/>
      <c r="F917" s="125"/>
      <c r="H917" s="125"/>
      <c r="J917" s="125"/>
    </row>
    <row r="918">
      <c r="D918" s="125"/>
      <c r="E918" s="125"/>
      <c r="F918" s="125"/>
      <c r="H918" s="125"/>
      <c r="J918" s="125"/>
    </row>
    <row r="919">
      <c r="D919" s="125"/>
      <c r="E919" s="125"/>
      <c r="F919" s="125"/>
      <c r="H919" s="125"/>
      <c r="J919" s="125"/>
    </row>
    <row r="920">
      <c r="D920" s="125"/>
      <c r="E920" s="125"/>
      <c r="F920" s="125"/>
      <c r="H920" s="125"/>
      <c r="J920" s="125"/>
    </row>
    <row r="921">
      <c r="D921" s="125"/>
      <c r="E921" s="125"/>
      <c r="F921" s="125"/>
      <c r="H921" s="125"/>
      <c r="J921" s="125"/>
    </row>
    <row r="922">
      <c r="D922" s="125"/>
      <c r="E922" s="125"/>
      <c r="F922" s="125"/>
      <c r="H922" s="125"/>
      <c r="J922" s="125"/>
    </row>
    <row r="923">
      <c r="D923" s="125"/>
      <c r="E923" s="125"/>
      <c r="F923" s="125"/>
      <c r="H923" s="125"/>
      <c r="J923" s="125"/>
    </row>
    <row r="924">
      <c r="D924" s="125"/>
      <c r="E924" s="125"/>
      <c r="F924" s="125"/>
      <c r="H924" s="125"/>
      <c r="J924" s="125"/>
    </row>
    <row r="925">
      <c r="D925" s="125"/>
      <c r="E925" s="125"/>
      <c r="F925" s="125"/>
      <c r="H925" s="125"/>
      <c r="J925" s="125"/>
    </row>
    <row r="926">
      <c r="D926" s="125"/>
      <c r="E926" s="125"/>
      <c r="F926" s="125"/>
      <c r="H926" s="125"/>
      <c r="J926" s="125"/>
    </row>
    <row r="927">
      <c r="D927" s="125"/>
      <c r="E927" s="125"/>
      <c r="F927" s="125"/>
      <c r="H927" s="125"/>
      <c r="J927" s="125"/>
    </row>
    <row r="928">
      <c r="D928" s="125"/>
      <c r="E928" s="125"/>
      <c r="F928" s="125"/>
      <c r="H928" s="125"/>
      <c r="J928" s="125"/>
    </row>
    <row r="929">
      <c r="D929" s="125"/>
      <c r="E929" s="125"/>
      <c r="F929" s="125"/>
      <c r="H929" s="125"/>
      <c r="J929" s="125"/>
    </row>
    <row r="930">
      <c r="D930" s="125"/>
      <c r="E930" s="125"/>
      <c r="F930" s="125"/>
      <c r="H930" s="125"/>
      <c r="J930" s="125"/>
    </row>
    <row r="931">
      <c r="D931" s="125"/>
      <c r="E931" s="125"/>
      <c r="F931" s="125"/>
      <c r="H931" s="125"/>
      <c r="J931" s="125"/>
    </row>
    <row r="932">
      <c r="D932" s="125"/>
      <c r="E932" s="125"/>
      <c r="F932" s="125"/>
      <c r="H932" s="125"/>
      <c r="J932" s="125"/>
    </row>
    <row r="933">
      <c r="D933" s="125"/>
      <c r="E933" s="125"/>
      <c r="F933" s="125"/>
      <c r="H933" s="125"/>
      <c r="J933" s="125"/>
    </row>
    <row r="934">
      <c r="D934" s="125"/>
      <c r="E934" s="125"/>
      <c r="F934" s="125"/>
      <c r="H934" s="125"/>
      <c r="J934" s="125"/>
    </row>
    <row r="935">
      <c r="D935" s="125"/>
      <c r="E935" s="125"/>
      <c r="F935" s="125"/>
      <c r="H935" s="125"/>
      <c r="J935" s="125"/>
    </row>
    <row r="936">
      <c r="D936" s="125"/>
      <c r="E936" s="125"/>
      <c r="F936" s="125"/>
      <c r="H936" s="125"/>
      <c r="J936" s="125"/>
    </row>
    <row r="937">
      <c r="D937" s="125"/>
      <c r="E937" s="125"/>
      <c r="F937" s="125"/>
      <c r="H937" s="125"/>
      <c r="J937" s="125"/>
    </row>
    <row r="938">
      <c r="D938" s="125"/>
      <c r="E938" s="125"/>
      <c r="F938" s="125"/>
      <c r="H938" s="125"/>
      <c r="J938" s="125"/>
    </row>
    <row r="939">
      <c r="D939" s="125"/>
      <c r="E939" s="125"/>
      <c r="F939" s="125"/>
      <c r="H939" s="125"/>
      <c r="J939" s="125"/>
    </row>
    <row r="940">
      <c r="D940" s="125"/>
      <c r="E940" s="125"/>
      <c r="F940" s="125"/>
      <c r="H940" s="125"/>
      <c r="J940" s="125"/>
    </row>
    <row r="941">
      <c r="D941" s="125"/>
      <c r="E941" s="125"/>
      <c r="F941" s="125"/>
      <c r="H941" s="125"/>
      <c r="J941" s="125"/>
    </row>
    <row r="942">
      <c r="D942" s="125"/>
      <c r="E942" s="125"/>
      <c r="F942" s="125"/>
      <c r="H942" s="125"/>
      <c r="J942" s="125"/>
    </row>
    <row r="943">
      <c r="D943" s="125"/>
      <c r="E943" s="125"/>
      <c r="F943" s="125"/>
      <c r="H943" s="125"/>
      <c r="J943" s="125"/>
    </row>
    <row r="944">
      <c r="D944" s="125"/>
      <c r="E944" s="125"/>
      <c r="F944" s="125"/>
      <c r="H944" s="125"/>
      <c r="J944" s="125"/>
    </row>
    <row r="945">
      <c r="D945" s="125"/>
      <c r="E945" s="125"/>
      <c r="F945" s="125"/>
      <c r="H945" s="125"/>
      <c r="J945" s="125"/>
    </row>
    <row r="946">
      <c r="D946" s="125"/>
      <c r="E946" s="125"/>
      <c r="F946" s="125"/>
      <c r="H946" s="125"/>
      <c r="J946" s="125"/>
    </row>
    <row r="947">
      <c r="D947" s="125"/>
      <c r="E947" s="125"/>
      <c r="F947" s="125"/>
      <c r="H947" s="125"/>
      <c r="J947" s="125"/>
    </row>
    <row r="948">
      <c r="D948" s="125"/>
      <c r="E948" s="125"/>
      <c r="F948" s="125"/>
      <c r="H948" s="125"/>
      <c r="J948" s="125"/>
    </row>
    <row r="949">
      <c r="D949" s="125"/>
      <c r="E949" s="125"/>
      <c r="F949" s="125"/>
      <c r="H949" s="125"/>
      <c r="J949" s="125"/>
    </row>
    <row r="950">
      <c r="D950" s="125"/>
      <c r="E950" s="125"/>
      <c r="F950" s="125"/>
      <c r="H950" s="125"/>
      <c r="J950" s="125"/>
    </row>
    <row r="951">
      <c r="D951" s="125"/>
      <c r="E951" s="125"/>
      <c r="F951" s="125"/>
      <c r="H951" s="125"/>
      <c r="J951" s="125"/>
    </row>
    <row r="952">
      <c r="D952" s="125"/>
      <c r="E952" s="125"/>
      <c r="F952" s="125"/>
      <c r="H952" s="125"/>
      <c r="J952" s="125"/>
    </row>
    <row r="953">
      <c r="D953" s="125"/>
      <c r="E953" s="125"/>
      <c r="F953" s="125"/>
      <c r="H953" s="125"/>
      <c r="J953" s="125"/>
    </row>
    <row r="954">
      <c r="D954" s="125"/>
      <c r="E954" s="125"/>
      <c r="F954" s="125"/>
      <c r="H954" s="125"/>
      <c r="J954" s="125"/>
    </row>
    <row r="955">
      <c r="D955" s="125"/>
      <c r="E955" s="125"/>
      <c r="F955" s="125"/>
      <c r="H955" s="125"/>
      <c r="J955" s="125"/>
    </row>
    <row r="956">
      <c r="D956" s="125"/>
      <c r="E956" s="125"/>
      <c r="F956" s="125"/>
      <c r="H956" s="125"/>
      <c r="J956" s="125"/>
    </row>
    <row r="957">
      <c r="D957" s="125"/>
      <c r="E957" s="125"/>
      <c r="F957" s="125"/>
      <c r="H957" s="125"/>
      <c r="J957" s="125"/>
    </row>
    <row r="958">
      <c r="D958" s="125"/>
      <c r="E958" s="125"/>
      <c r="F958" s="125"/>
      <c r="H958" s="125"/>
      <c r="J958" s="125"/>
    </row>
    <row r="959">
      <c r="D959" s="125"/>
      <c r="E959" s="125"/>
      <c r="F959" s="125"/>
      <c r="H959" s="125"/>
      <c r="J959" s="125"/>
    </row>
    <row r="960">
      <c r="D960" s="125"/>
      <c r="E960" s="125"/>
      <c r="F960" s="125"/>
      <c r="H960" s="125"/>
      <c r="J960" s="125"/>
    </row>
    <row r="961">
      <c r="D961" s="125"/>
      <c r="E961" s="125"/>
      <c r="F961" s="125"/>
      <c r="H961" s="125"/>
      <c r="J961" s="125"/>
    </row>
    <row r="962">
      <c r="D962" s="125"/>
      <c r="E962" s="125"/>
      <c r="F962" s="125"/>
      <c r="H962" s="125"/>
      <c r="J962" s="125"/>
    </row>
    <row r="963">
      <c r="D963" s="125"/>
      <c r="E963" s="125"/>
      <c r="F963" s="125"/>
      <c r="H963" s="125"/>
      <c r="J963" s="125"/>
    </row>
    <row r="964">
      <c r="D964" s="125"/>
      <c r="E964" s="125"/>
      <c r="F964" s="125"/>
      <c r="H964" s="125"/>
      <c r="J964" s="125"/>
    </row>
    <row r="965">
      <c r="D965" s="125"/>
      <c r="E965" s="125"/>
      <c r="F965" s="125"/>
      <c r="H965" s="125"/>
      <c r="J965" s="125"/>
    </row>
    <row r="966">
      <c r="D966" s="125"/>
      <c r="E966" s="125"/>
      <c r="F966" s="125"/>
      <c r="H966" s="125"/>
      <c r="J966" s="125"/>
    </row>
    <row r="967">
      <c r="D967" s="125"/>
      <c r="E967" s="125"/>
      <c r="F967" s="125"/>
      <c r="H967" s="125"/>
      <c r="J967" s="125"/>
    </row>
    <row r="968">
      <c r="D968" s="125"/>
      <c r="E968" s="125"/>
      <c r="F968" s="125"/>
      <c r="H968" s="125"/>
      <c r="J968" s="125"/>
    </row>
    <row r="969">
      <c r="D969" s="125"/>
      <c r="E969" s="125"/>
      <c r="F969" s="125"/>
      <c r="H969" s="125"/>
      <c r="J969" s="125"/>
    </row>
    <row r="970">
      <c r="D970" s="125"/>
      <c r="E970" s="125"/>
      <c r="F970" s="125"/>
      <c r="H970" s="125"/>
      <c r="J970" s="125"/>
    </row>
    <row r="971">
      <c r="D971" s="125"/>
      <c r="E971" s="125"/>
      <c r="F971" s="125"/>
      <c r="H971" s="125"/>
      <c r="J971" s="125"/>
    </row>
    <row r="972">
      <c r="D972" s="125"/>
      <c r="E972" s="125"/>
      <c r="F972" s="125"/>
      <c r="H972" s="125"/>
      <c r="J972" s="125"/>
    </row>
    <row r="973">
      <c r="D973" s="125"/>
      <c r="E973" s="125"/>
      <c r="F973" s="125"/>
      <c r="H973" s="125"/>
      <c r="J973" s="125"/>
    </row>
    <row r="974">
      <c r="D974" s="125"/>
      <c r="E974" s="125"/>
      <c r="F974" s="125"/>
      <c r="H974" s="125"/>
      <c r="J974" s="125"/>
    </row>
    <row r="975">
      <c r="D975" s="125"/>
      <c r="E975" s="125"/>
      <c r="F975" s="125"/>
      <c r="H975" s="125"/>
      <c r="J975" s="125"/>
    </row>
    <row r="976">
      <c r="D976" s="125"/>
      <c r="E976" s="125"/>
      <c r="F976" s="125"/>
      <c r="H976" s="125"/>
      <c r="J976" s="125"/>
    </row>
    <row r="977">
      <c r="D977" s="125"/>
      <c r="E977" s="125"/>
      <c r="F977" s="125"/>
      <c r="H977" s="125"/>
      <c r="J977" s="125"/>
    </row>
    <row r="978">
      <c r="D978" s="125"/>
      <c r="E978" s="125"/>
      <c r="F978" s="125"/>
      <c r="H978" s="125"/>
      <c r="J978" s="125"/>
    </row>
    <row r="979">
      <c r="D979" s="125"/>
      <c r="E979" s="125"/>
      <c r="F979" s="125"/>
      <c r="H979" s="125"/>
      <c r="J979" s="125"/>
    </row>
    <row r="980">
      <c r="D980" s="125"/>
      <c r="E980" s="125"/>
      <c r="F980" s="125"/>
      <c r="H980" s="125"/>
      <c r="J980" s="125"/>
    </row>
    <row r="981">
      <c r="D981" s="125"/>
      <c r="E981" s="125"/>
      <c r="F981" s="125"/>
      <c r="H981" s="125"/>
      <c r="J981" s="125"/>
    </row>
    <row r="982">
      <c r="D982" s="125"/>
      <c r="E982" s="125"/>
      <c r="F982" s="125"/>
      <c r="H982" s="125"/>
      <c r="J982" s="125"/>
    </row>
    <row r="983">
      <c r="D983" s="125"/>
      <c r="E983" s="125"/>
      <c r="F983" s="125"/>
      <c r="H983" s="125"/>
      <c r="J983" s="125"/>
    </row>
    <row r="984">
      <c r="D984" s="125"/>
      <c r="E984" s="125"/>
      <c r="F984" s="125"/>
      <c r="H984" s="125"/>
      <c r="J984" s="125"/>
    </row>
    <row r="985">
      <c r="D985" s="125"/>
      <c r="E985" s="125"/>
      <c r="F985" s="125"/>
      <c r="H985" s="125"/>
      <c r="J985" s="125"/>
    </row>
    <row r="986">
      <c r="D986" s="125"/>
      <c r="E986" s="125"/>
      <c r="F986" s="125"/>
      <c r="H986" s="125"/>
      <c r="J986" s="125"/>
    </row>
    <row r="987">
      <c r="D987" s="125"/>
      <c r="E987" s="125"/>
      <c r="F987" s="125"/>
      <c r="H987" s="125"/>
      <c r="J987" s="125"/>
    </row>
    <row r="988">
      <c r="D988" s="125"/>
      <c r="E988" s="125"/>
      <c r="F988" s="125"/>
      <c r="H988" s="125"/>
      <c r="J988" s="125"/>
    </row>
    <row r="989">
      <c r="D989" s="125"/>
      <c r="E989" s="125"/>
      <c r="F989" s="125"/>
      <c r="H989" s="125"/>
      <c r="J989" s="125"/>
    </row>
    <row r="990">
      <c r="D990" s="125"/>
      <c r="E990" s="125"/>
      <c r="F990" s="125"/>
      <c r="H990" s="125"/>
      <c r="J990" s="125"/>
    </row>
    <row r="991">
      <c r="D991" s="125"/>
      <c r="E991" s="125"/>
      <c r="F991" s="125"/>
      <c r="H991" s="125"/>
      <c r="J991" s="125"/>
    </row>
    <row r="992">
      <c r="D992" s="125"/>
      <c r="E992" s="125"/>
      <c r="F992" s="125"/>
      <c r="H992" s="125"/>
      <c r="J992" s="125"/>
    </row>
    <row r="993">
      <c r="D993" s="125"/>
      <c r="E993" s="125"/>
      <c r="F993" s="125"/>
      <c r="H993" s="125"/>
      <c r="J993" s="125"/>
    </row>
    <row r="994">
      <c r="D994" s="125"/>
      <c r="E994" s="125"/>
      <c r="F994" s="125"/>
      <c r="H994" s="125"/>
      <c r="J994" s="125"/>
    </row>
    <row r="995">
      <c r="D995" s="125"/>
      <c r="E995" s="125"/>
      <c r="F995" s="125"/>
      <c r="H995" s="125"/>
      <c r="J995" s="125"/>
    </row>
    <row r="996">
      <c r="D996" s="125"/>
      <c r="E996" s="125"/>
      <c r="F996" s="125"/>
      <c r="H996" s="125"/>
      <c r="J996" s="125"/>
    </row>
    <row r="997">
      <c r="D997" s="125"/>
      <c r="E997" s="125"/>
      <c r="F997" s="125"/>
      <c r="H997" s="125"/>
      <c r="J997" s="125"/>
    </row>
    <row r="998">
      <c r="D998" s="125"/>
      <c r="E998" s="125"/>
      <c r="F998" s="125"/>
      <c r="H998" s="125"/>
      <c r="J998" s="125"/>
    </row>
    <row r="999">
      <c r="D999" s="125"/>
      <c r="E999" s="125"/>
      <c r="F999" s="125"/>
      <c r="H999" s="125"/>
      <c r="J999" s="125"/>
    </row>
    <row r="1000">
      <c r="D1000" s="125"/>
      <c r="E1000" s="125"/>
      <c r="F1000" s="125"/>
      <c r="H1000" s="125"/>
      <c r="J1000" s="125"/>
    </row>
    <row r="1001">
      <c r="D1001" s="125"/>
      <c r="E1001" s="125"/>
      <c r="F1001" s="125"/>
      <c r="H1001" s="125"/>
      <c r="J1001" s="125"/>
    </row>
    <row r="1002">
      <c r="D1002" s="125"/>
      <c r="E1002" s="125"/>
      <c r="F1002" s="125"/>
      <c r="H1002" s="125"/>
      <c r="J1002" s="125"/>
    </row>
    <row r="1003">
      <c r="D1003" s="125"/>
      <c r="E1003" s="125"/>
      <c r="F1003" s="125"/>
      <c r="H1003" s="125"/>
      <c r="J1003" s="125"/>
    </row>
    <row r="1004">
      <c r="D1004" s="125"/>
      <c r="E1004" s="125"/>
      <c r="F1004" s="125"/>
      <c r="H1004" s="125"/>
      <c r="J1004" s="125"/>
    </row>
    <row r="1005">
      <c r="D1005" s="125"/>
      <c r="E1005" s="125"/>
      <c r="F1005" s="125"/>
      <c r="H1005" s="125"/>
      <c r="J1005" s="125"/>
    </row>
    <row r="1006">
      <c r="D1006" s="125"/>
      <c r="E1006" s="125"/>
      <c r="F1006" s="125"/>
      <c r="H1006" s="125"/>
      <c r="J1006" s="125"/>
    </row>
    <row r="1007">
      <c r="D1007" s="125"/>
      <c r="E1007" s="125"/>
      <c r="F1007" s="125"/>
      <c r="H1007" s="125"/>
      <c r="J1007" s="125"/>
    </row>
    <row r="1008">
      <c r="D1008" s="125"/>
      <c r="E1008" s="125"/>
      <c r="F1008" s="125"/>
      <c r="H1008" s="125"/>
      <c r="J1008" s="125"/>
    </row>
    <row r="1009">
      <c r="D1009" s="125"/>
      <c r="E1009" s="125"/>
      <c r="F1009" s="125"/>
      <c r="H1009" s="125"/>
      <c r="J1009" s="125"/>
    </row>
    <row r="1010">
      <c r="D1010" s="125"/>
      <c r="E1010" s="125"/>
      <c r="F1010" s="125"/>
      <c r="H1010" s="125"/>
      <c r="J1010" s="125"/>
    </row>
    <row r="1011">
      <c r="D1011" s="125"/>
      <c r="E1011" s="125"/>
      <c r="F1011" s="125"/>
      <c r="H1011" s="125"/>
      <c r="J1011" s="125"/>
    </row>
    <row r="1012">
      <c r="D1012" s="125"/>
      <c r="E1012" s="125"/>
      <c r="F1012" s="125"/>
      <c r="H1012" s="125"/>
      <c r="J1012" s="125"/>
    </row>
    <row r="1013">
      <c r="D1013" s="125"/>
      <c r="E1013" s="125"/>
      <c r="F1013" s="125"/>
      <c r="H1013" s="125"/>
      <c r="J1013" s="125"/>
    </row>
    <row r="1014">
      <c r="D1014" s="125"/>
      <c r="E1014" s="125"/>
      <c r="F1014" s="125"/>
      <c r="H1014" s="125"/>
      <c r="J1014" s="125"/>
    </row>
    <row r="1015">
      <c r="D1015" s="125"/>
      <c r="E1015" s="125"/>
      <c r="F1015" s="125"/>
      <c r="H1015" s="125"/>
      <c r="J1015" s="125"/>
    </row>
    <row r="1016">
      <c r="D1016" s="125"/>
      <c r="E1016" s="125"/>
      <c r="F1016" s="125"/>
      <c r="H1016" s="125"/>
      <c r="J1016" s="125"/>
    </row>
    <row r="1017">
      <c r="D1017" s="125"/>
      <c r="E1017" s="125"/>
      <c r="F1017" s="125"/>
      <c r="H1017" s="125"/>
      <c r="J1017" s="125"/>
    </row>
    <row r="1018">
      <c r="D1018" s="125"/>
      <c r="E1018" s="125"/>
      <c r="F1018" s="125"/>
      <c r="H1018" s="125"/>
      <c r="J1018" s="125"/>
    </row>
    <row r="1019">
      <c r="D1019" s="125"/>
      <c r="E1019" s="125"/>
      <c r="F1019" s="125"/>
      <c r="H1019" s="125"/>
      <c r="J1019" s="125"/>
    </row>
    <row r="1020">
      <c r="D1020" s="125"/>
      <c r="E1020" s="125"/>
      <c r="F1020" s="125"/>
      <c r="H1020" s="125"/>
      <c r="J1020" s="125"/>
    </row>
  </sheetData>
  <mergeCells count="28">
    <mergeCell ref="A1:O1"/>
    <mergeCell ref="A2:O2"/>
    <mergeCell ref="A3:O3"/>
    <mergeCell ref="A4:N4"/>
    <mergeCell ref="A5:N5"/>
    <mergeCell ref="A6:O6"/>
    <mergeCell ref="C71:F71"/>
    <mergeCell ref="C72:F72"/>
    <mergeCell ref="C73:F73"/>
    <mergeCell ref="C74:F74"/>
    <mergeCell ref="C75:F75"/>
    <mergeCell ref="C76:F76"/>
    <mergeCell ref="C77:F77"/>
    <mergeCell ref="C79:F79"/>
    <mergeCell ref="B91:B92"/>
    <mergeCell ref="B93:B94"/>
    <mergeCell ref="C96:F96"/>
    <mergeCell ref="C97:F97"/>
    <mergeCell ref="C98:F98"/>
    <mergeCell ref="C99:F99"/>
    <mergeCell ref="C100:F100"/>
    <mergeCell ref="C80:F80"/>
    <mergeCell ref="C81:F81"/>
    <mergeCell ref="C82:F82"/>
    <mergeCell ref="C83:F83"/>
    <mergeCell ref="C84:F84"/>
    <mergeCell ref="B87:B88"/>
    <mergeCell ref="B89:B90"/>
  </mergeCells>
  <conditionalFormatting sqref="H8:L69">
    <cfRule type="containsBlanks" dxfId="0" priority="1">
      <formula>LEN(TRIM(H8))=0</formula>
    </cfRule>
  </conditionalFormatting>
  <conditionalFormatting sqref="H8:L69">
    <cfRule type="cellIs" dxfId="1" priority="2" operator="lessThan">
      <formula>50</formula>
    </cfRule>
  </conditionalFormatting>
  <conditionalFormatting sqref="H8:L69">
    <cfRule type="cellIs" dxfId="2" priority="3" operator="equal">
      <formula>"A"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0"/>
    <col customWidth="1" min="2" max="2" width="12.88"/>
    <col customWidth="1" min="3" max="3" width="49.5"/>
    <col customWidth="1" min="4" max="4" width="5.63"/>
    <col customWidth="1" min="5" max="5" width="4.25"/>
    <col customWidth="1" min="6" max="6" width="7.5"/>
    <col hidden="1" min="7" max="7" width="12.63"/>
    <col customWidth="1" min="8" max="8" width="10.63"/>
    <col customWidth="1" min="9" max="9" width="10.13"/>
    <col customWidth="1" min="10" max="10" width="8.75"/>
    <col customWidth="1" min="11" max="11" width="8.38"/>
    <col customWidth="1" min="12" max="12" width="11.25"/>
    <col customWidth="1" min="13" max="13" width="6.75"/>
    <col customWidth="1" min="14" max="14" width="8.63"/>
    <col hidden="1" min="15" max="16" width="12.63"/>
    <col customWidth="1" min="17" max="17" width="7.88"/>
  </cols>
  <sheetData>
    <row r="1">
      <c r="A1" s="1" t="s">
        <v>0</v>
      </c>
      <c r="P1" s="2"/>
      <c r="Q1" s="2"/>
    </row>
    <row r="2">
      <c r="A2" s="3" t="s">
        <v>1</v>
      </c>
      <c r="P2" s="2"/>
      <c r="Q2" s="2"/>
    </row>
    <row r="3">
      <c r="A3" s="4" t="s">
        <v>2</v>
      </c>
      <c r="P3" s="2"/>
      <c r="Q3" s="2"/>
    </row>
    <row r="4">
      <c r="A4" s="5" t="s">
        <v>3</v>
      </c>
      <c r="O4" s="6"/>
      <c r="P4" s="2"/>
      <c r="Q4" s="2"/>
    </row>
    <row r="5">
      <c r="A5" s="7" t="s">
        <v>4</v>
      </c>
      <c r="O5" s="2"/>
      <c r="P5" s="2"/>
      <c r="Q5" s="2"/>
    </row>
    <row r="6">
      <c r="A6" s="8" t="s">
        <v>125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"/>
      <c r="Q6" s="2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4" t="s">
        <v>18</v>
      </c>
      <c r="N7" s="12" t="s">
        <v>19</v>
      </c>
      <c r="O7" s="126"/>
      <c r="P7" s="2" t="s">
        <v>20</v>
      </c>
      <c r="Q7" s="127" t="s">
        <v>21</v>
      </c>
    </row>
    <row r="8">
      <c r="A8" s="18">
        <v>1.0</v>
      </c>
      <c r="B8" s="128">
        <v>1.11625201063E11</v>
      </c>
      <c r="C8" s="129" t="s">
        <v>126</v>
      </c>
      <c r="D8" s="130" t="s">
        <v>27</v>
      </c>
      <c r="E8" s="130" t="s">
        <v>30</v>
      </c>
      <c r="F8" s="130" t="s">
        <v>32</v>
      </c>
      <c r="G8" s="22"/>
      <c r="H8" s="131">
        <v>98.0</v>
      </c>
      <c r="I8" s="131">
        <v>77.0</v>
      </c>
      <c r="J8" s="19">
        <v>96.0</v>
      </c>
      <c r="K8" s="132">
        <v>83.33333333333334</v>
      </c>
      <c r="L8" s="131">
        <v>83.0</v>
      </c>
      <c r="M8" s="28">
        <f t="shared" ref="M8:M69" si="1">sum(H8:L8)/5</f>
        <v>87.46666667</v>
      </c>
      <c r="N8" s="29">
        <f t="shared" ref="N8:N69" si="2">((COUNTIF((H8:L8),"&lt;50"))+(COUNTIF((H8:L8),"=A")))</f>
        <v>0</v>
      </c>
      <c r="O8" s="30" t="str">
        <f t="shared" ref="O8:O22" si="3">IF((N8&lt;1),"0","1")</f>
        <v>0</v>
      </c>
      <c r="P8" s="31">
        <f t="shared" ref="P8:P22" si="4">COUNTIF((H8:L8),"=A")</f>
        <v>0</v>
      </c>
      <c r="Q8" s="32">
        <v>98.0</v>
      </c>
    </row>
    <row r="9">
      <c r="A9" s="18">
        <v>2.0</v>
      </c>
      <c r="B9" s="128">
        <v>1.11625201064E11</v>
      </c>
      <c r="C9" s="129" t="s">
        <v>127</v>
      </c>
      <c r="D9" s="130" t="s">
        <v>23</v>
      </c>
      <c r="E9" s="130" t="s">
        <v>30</v>
      </c>
      <c r="F9" s="130" t="s">
        <v>32</v>
      </c>
      <c r="G9" s="22"/>
      <c r="H9" s="131">
        <v>81.0</v>
      </c>
      <c r="I9" s="131">
        <v>60.0</v>
      </c>
      <c r="J9" s="19">
        <v>63.0</v>
      </c>
      <c r="K9" s="133" t="s">
        <v>25</v>
      </c>
      <c r="L9" s="131">
        <v>63.0</v>
      </c>
      <c r="M9" s="28">
        <f t="shared" si="1"/>
        <v>53.4</v>
      </c>
      <c r="N9" s="29">
        <f t="shared" si="2"/>
        <v>1</v>
      </c>
      <c r="O9" s="30" t="str">
        <f t="shared" si="3"/>
        <v>1</v>
      </c>
      <c r="P9" s="31">
        <f t="shared" si="4"/>
        <v>1</v>
      </c>
      <c r="Q9" s="32">
        <v>94.0</v>
      </c>
    </row>
    <row r="10" ht="15.0" customHeight="1">
      <c r="A10" s="18">
        <v>3.0</v>
      </c>
      <c r="B10" s="128">
        <v>1.11625201065E11</v>
      </c>
      <c r="C10" s="129" t="s">
        <v>128</v>
      </c>
      <c r="D10" s="130" t="s">
        <v>23</v>
      </c>
      <c r="E10" s="130" t="s">
        <v>30</v>
      </c>
      <c r="F10" s="130" t="s">
        <v>23</v>
      </c>
      <c r="G10" s="22"/>
      <c r="H10" s="131">
        <v>50.0</v>
      </c>
      <c r="I10" s="131">
        <v>80.0</v>
      </c>
      <c r="J10" s="19">
        <v>36.0</v>
      </c>
      <c r="K10" s="132">
        <v>60.0</v>
      </c>
      <c r="L10" s="131">
        <v>73.0</v>
      </c>
      <c r="M10" s="28">
        <f t="shared" si="1"/>
        <v>59.8</v>
      </c>
      <c r="N10" s="29">
        <f t="shared" si="2"/>
        <v>1</v>
      </c>
      <c r="O10" s="30" t="str">
        <f t="shared" si="3"/>
        <v>1</v>
      </c>
      <c r="P10" s="31">
        <f t="shared" si="4"/>
        <v>0</v>
      </c>
      <c r="Q10" s="32">
        <v>98.0</v>
      </c>
    </row>
    <row r="11" ht="19.5" customHeight="1">
      <c r="A11" s="18">
        <v>4.0</v>
      </c>
      <c r="B11" s="128">
        <v>1.11625201066E11</v>
      </c>
      <c r="C11" s="129" t="s">
        <v>129</v>
      </c>
      <c r="D11" s="130" t="s">
        <v>27</v>
      </c>
      <c r="E11" s="130" t="s">
        <v>24</v>
      </c>
      <c r="F11" s="130" t="s">
        <v>32</v>
      </c>
      <c r="G11" s="22"/>
      <c r="H11" s="131">
        <v>74.0</v>
      </c>
      <c r="I11" s="131">
        <v>90.0</v>
      </c>
      <c r="J11" s="19">
        <v>86.0</v>
      </c>
      <c r="K11" s="132">
        <v>90.0</v>
      </c>
      <c r="L11" s="131">
        <v>83.0</v>
      </c>
      <c r="M11" s="28">
        <f t="shared" si="1"/>
        <v>84.6</v>
      </c>
      <c r="N11" s="29">
        <f t="shared" si="2"/>
        <v>0</v>
      </c>
      <c r="O11" s="30" t="str">
        <f t="shared" si="3"/>
        <v>0</v>
      </c>
      <c r="P11" s="31">
        <f t="shared" si="4"/>
        <v>0</v>
      </c>
      <c r="Q11" s="32">
        <v>100.0</v>
      </c>
    </row>
    <row r="12" ht="15.0" customHeight="1">
      <c r="A12" s="18">
        <v>5.0</v>
      </c>
      <c r="B12" s="128">
        <v>1.11625201067E11</v>
      </c>
      <c r="C12" s="129" t="s">
        <v>130</v>
      </c>
      <c r="D12" s="130" t="s">
        <v>23</v>
      </c>
      <c r="E12" s="130" t="s">
        <v>24</v>
      </c>
      <c r="F12" s="130" t="s">
        <v>23</v>
      </c>
      <c r="G12" s="22"/>
      <c r="H12" s="131">
        <v>60.0</v>
      </c>
      <c r="I12" s="131">
        <v>73.0</v>
      </c>
      <c r="J12" s="19">
        <v>50.0</v>
      </c>
      <c r="K12" s="132">
        <v>26.666666666666668</v>
      </c>
      <c r="L12" s="131">
        <v>43.0</v>
      </c>
      <c r="M12" s="28">
        <f t="shared" si="1"/>
        <v>50.53333333</v>
      </c>
      <c r="N12" s="29">
        <f t="shared" si="2"/>
        <v>2</v>
      </c>
      <c r="O12" s="30" t="str">
        <f t="shared" si="3"/>
        <v>1</v>
      </c>
      <c r="P12" s="31">
        <f t="shared" si="4"/>
        <v>0</v>
      </c>
      <c r="Q12" s="32">
        <v>100.0</v>
      </c>
    </row>
    <row r="13" ht="15.0" customHeight="1">
      <c r="A13" s="18">
        <v>6.0</v>
      </c>
      <c r="B13" s="128">
        <v>1.11625201068E11</v>
      </c>
      <c r="C13" s="129" t="s">
        <v>131</v>
      </c>
      <c r="D13" s="130" t="s">
        <v>23</v>
      </c>
      <c r="E13" s="130" t="s">
        <v>24</v>
      </c>
      <c r="F13" s="130" t="s">
        <v>32</v>
      </c>
      <c r="G13" s="22"/>
      <c r="H13" s="131">
        <v>12.0</v>
      </c>
      <c r="I13" s="131">
        <v>80.0</v>
      </c>
      <c r="J13" s="19">
        <v>23.0</v>
      </c>
      <c r="K13" s="132">
        <v>73.33333333333333</v>
      </c>
      <c r="L13" s="131">
        <v>50.0</v>
      </c>
      <c r="M13" s="28">
        <f t="shared" si="1"/>
        <v>47.66666667</v>
      </c>
      <c r="N13" s="29">
        <f t="shared" si="2"/>
        <v>2</v>
      </c>
      <c r="O13" s="30" t="str">
        <f t="shared" si="3"/>
        <v>1</v>
      </c>
      <c r="P13" s="31">
        <f t="shared" si="4"/>
        <v>0</v>
      </c>
      <c r="Q13" s="32">
        <v>100.0</v>
      </c>
    </row>
    <row r="14" ht="16.5" customHeight="1">
      <c r="A14" s="18">
        <v>7.0</v>
      </c>
      <c r="B14" s="128">
        <v>1.11625201069E11</v>
      </c>
      <c r="C14" s="129" t="s">
        <v>132</v>
      </c>
      <c r="D14" s="130" t="s">
        <v>23</v>
      </c>
      <c r="E14" s="130" t="s">
        <v>30</v>
      </c>
      <c r="F14" s="130" t="s">
        <v>23</v>
      </c>
      <c r="G14" s="22"/>
      <c r="H14" s="131">
        <v>50.0</v>
      </c>
      <c r="I14" s="131">
        <v>50.0</v>
      </c>
      <c r="J14" s="19">
        <v>66.0</v>
      </c>
      <c r="K14" s="132">
        <v>60.0</v>
      </c>
      <c r="L14" s="131">
        <v>50.0</v>
      </c>
      <c r="M14" s="28">
        <f t="shared" si="1"/>
        <v>55.2</v>
      </c>
      <c r="N14" s="29">
        <f t="shared" si="2"/>
        <v>0</v>
      </c>
      <c r="O14" s="30" t="str">
        <f t="shared" si="3"/>
        <v>0</v>
      </c>
      <c r="P14" s="31">
        <f t="shared" si="4"/>
        <v>0</v>
      </c>
      <c r="Q14" s="32">
        <v>96.0</v>
      </c>
    </row>
    <row r="15" ht="16.5" customHeight="1">
      <c r="A15" s="18">
        <v>8.0</v>
      </c>
      <c r="B15" s="128">
        <v>1.1162520107E11</v>
      </c>
      <c r="C15" s="129" t="s">
        <v>133</v>
      </c>
      <c r="D15" s="130" t="s">
        <v>27</v>
      </c>
      <c r="E15" s="130" t="s">
        <v>30</v>
      </c>
      <c r="F15" s="130" t="s">
        <v>23</v>
      </c>
      <c r="G15" s="22"/>
      <c r="H15" s="131">
        <v>50.0</v>
      </c>
      <c r="I15" s="131">
        <v>53.0</v>
      </c>
      <c r="J15" s="19">
        <v>67.0</v>
      </c>
      <c r="K15" s="132">
        <v>16.666666666666664</v>
      </c>
      <c r="L15" s="131">
        <v>50.0</v>
      </c>
      <c r="M15" s="28">
        <f t="shared" si="1"/>
        <v>47.33333333</v>
      </c>
      <c r="N15" s="29">
        <f t="shared" si="2"/>
        <v>1</v>
      </c>
      <c r="O15" s="30" t="str">
        <f t="shared" si="3"/>
        <v>1</v>
      </c>
      <c r="P15" s="31">
        <f t="shared" si="4"/>
        <v>0</v>
      </c>
      <c r="Q15" s="32">
        <v>100.0</v>
      </c>
    </row>
    <row r="16" ht="16.5" customHeight="1">
      <c r="A16" s="18">
        <v>9.0</v>
      </c>
      <c r="B16" s="128">
        <v>1.11625201071E11</v>
      </c>
      <c r="C16" s="129" t="s">
        <v>134</v>
      </c>
      <c r="D16" s="130" t="s">
        <v>23</v>
      </c>
      <c r="E16" s="130" t="s">
        <v>24</v>
      </c>
      <c r="F16" s="130" t="s">
        <v>23</v>
      </c>
      <c r="G16" s="22"/>
      <c r="H16" s="131">
        <v>50.0</v>
      </c>
      <c r="I16" s="131">
        <v>63.0</v>
      </c>
      <c r="J16" s="19">
        <v>37.0</v>
      </c>
      <c r="K16" s="132">
        <v>50.0</v>
      </c>
      <c r="L16" s="131">
        <v>50.0</v>
      </c>
      <c r="M16" s="28">
        <f t="shared" si="1"/>
        <v>50</v>
      </c>
      <c r="N16" s="29">
        <f t="shared" si="2"/>
        <v>1</v>
      </c>
      <c r="O16" s="30" t="str">
        <f t="shared" si="3"/>
        <v>1</v>
      </c>
      <c r="P16" s="31">
        <f t="shared" si="4"/>
        <v>0</v>
      </c>
      <c r="Q16" s="32">
        <v>100.0</v>
      </c>
    </row>
    <row r="17" ht="16.5" customHeight="1">
      <c r="A17" s="18">
        <v>10.0</v>
      </c>
      <c r="B17" s="128">
        <v>1.11625201072E11</v>
      </c>
      <c r="C17" s="129" t="s">
        <v>135</v>
      </c>
      <c r="D17" s="130" t="s">
        <v>23</v>
      </c>
      <c r="E17" s="130" t="s">
        <v>24</v>
      </c>
      <c r="F17" s="130" t="s">
        <v>23</v>
      </c>
      <c r="G17" s="22"/>
      <c r="H17" s="131">
        <v>52.0</v>
      </c>
      <c r="I17" s="131">
        <v>50.0</v>
      </c>
      <c r="J17" s="19">
        <v>19.0</v>
      </c>
      <c r="K17" s="132">
        <v>36.666666666666664</v>
      </c>
      <c r="L17" s="131">
        <v>50.0</v>
      </c>
      <c r="M17" s="28">
        <f t="shared" si="1"/>
        <v>41.53333333</v>
      </c>
      <c r="N17" s="29">
        <f t="shared" si="2"/>
        <v>2</v>
      </c>
      <c r="O17" s="30" t="str">
        <f t="shared" si="3"/>
        <v>1</v>
      </c>
      <c r="P17" s="31">
        <f t="shared" si="4"/>
        <v>0</v>
      </c>
      <c r="Q17" s="32">
        <v>98.0</v>
      </c>
    </row>
    <row r="18" ht="16.5" customHeight="1">
      <c r="A18" s="18">
        <v>11.0</v>
      </c>
      <c r="B18" s="128">
        <v>1.11625201073E11</v>
      </c>
      <c r="C18" s="129" t="s">
        <v>136</v>
      </c>
      <c r="D18" s="130" t="s">
        <v>27</v>
      </c>
      <c r="E18" s="130" t="s">
        <v>24</v>
      </c>
      <c r="F18" s="130" t="s">
        <v>32</v>
      </c>
      <c r="G18" s="22"/>
      <c r="H18" s="131">
        <v>51.0</v>
      </c>
      <c r="I18" s="131">
        <v>53.0</v>
      </c>
      <c r="J18" s="19">
        <v>3.0</v>
      </c>
      <c r="K18" s="132">
        <v>50.0</v>
      </c>
      <c r="L18" s="131">
        <v>50.0</v>
      </c>
      <c r="M18" s="28">
        <f t="shared" si="1"/>
        <v>41.4</v>
      </c>
      <c r="N18" s="29">
        <f t="shared" si="2"/>
        <v>1</v>
      </c>
      <c r="O18" s="30" t="str">
        <f t="shared" si="3"/>
        <v>1</v>
      </c>
      <c r="P18" s="31">
        <f t="shared" si="4"/>
        <v>0</v>
      </c>
      <c r="Q18" s="32">
        <v>94.0</v>
      </c>
    </row>
    <row r="19" ht="16.5" customHeight="1">
      <c r="A19" s="18">
        <v>12.0</v>
      </c>
      <c r="B19" s="128">
        <v>1.11625201074E11</v>
      </c>
      <c r="C19" s="129" t="s">
        <v>137</v>
      </c>
      <c r="D19" s="130" t="s">
        <v>27</v>
      </c>
      <c r="E19" s="130" t="s">
        <v>24</v>
      </c>
      <c r="F19" s="130" t="s">
        <v>32</v>
      </c>
      <c r="G19" s="22"/>
      <c r="H19" s="131">
        <v>53.0</v>
      </c>
      <c r="I19" s="131">
        <v>87.0</v>
      </c>
      <c r="J19" s="19">
        <v>96.0</v>
      </c>
      <c r="K19" s="132">
        <v>83.33333333333334</v>
      </c>
      <c r="L19" s="131">
        <v>77.0</v>
      </c>
      <c r="M19" s="28">
        <f t="shared" si="1"/>
        <v>79.26666667</v>
      </c>
      <c r="N19" s="29">
        <f t="shared" si="2"/>
        <v>0</v>
      </c>
      <c r="O19" s="30" t="str">
        <f t="shared" si="3"/>
        <v>0</v>
      </c>
      <c r="P19" s="31">
        <f t="shared" si="4"/>
        <v>0</v>
      </c>
      <c r="Q19" s="32">
        <v>100.0</v>
      </c>
    </row>
    <row r="20" ht="16.5" customHeight="1">
      <c r="A20" s="18">
        <v>13.0</v>
      </c>
      <c r="B20" s="128">
        <v>1.11625201075E11</v>
      </c>
      <c r="C20" s="129" t="s">
        <v>138</v>
      </c>
      <c r="D20" s="130" t="s">
        <v>23</v>
      </c>
      <c r="E20" s="130" t="s">
        <v>24</v>
      </c>
      <c r="F20" s="130" t="s">
        <v>23</v>
      </c>
      <c r="G20" s="22"/>
      <c r="H20" s="131">
        <v>54.0</v>
      </c>
      <c r="I20" s="131">
        <v>27.0</v>
      </c>
      <c r="J20" s="19">
        <v>16.0</v>
      </c>
      <c r="K20" s="132">
        <v>20.0</v>
      </c>
      <c r="L20" s="131">
        <v>3.0</v>
      </c>
      <c r="M20" s="28">
        <f t="shared" si="1"/>
        <v>24</v>
      </c>
      <c r="N20" s="29">
        <f t="shared" si="2"/>
        <v>4</v>
      </c>
      <c r="O20" s="30" t="str">
        <f t="shared" si="3"/>
        <v>1</v>
      </c>
      <c r="P20" s="31">
        <f t="shared" si="4"/>
        <v>0</v>
      </c>
      <c r="Q20" s="32">
        <v>98.0</v>
      </c>
    </row>
    <row r="21" ht="16.5" customHeight="1">
      <c r="A21" s="18">
        <v>14.0</v>
      </c>
      <c r="B21" s="128">
        <v>1.11625201076E11</v>
      </c>
      <c r="C21" s="129" t="s">
        <v>139</v>
      </c>
      <c r="D21" s="130" t="s">
        <v>27</v>
      </c>
      <c r="E21" s="130" t="s">
        <v>30</v>
      </c>
      <c r="F21" s="130" t="s">
        <v>32</v>
      </c>
      <c r="G21" s="22"/>
      <c r="H21" s="131">
        <v>50.0</v>
      </c>
      <c r="I21" s="131">
        <v>50.0</v>
      </c>
      <c r="J21" s="19">
        <v>13.0</v>
      </c>
      <c r="K21" s="132">
        <v>66.66666666666666</v>
      </c>
      <c r="L21" s="131">
        <v>50.0</v>
      </c>
      <c r="M21" s="28">
        <f t="shared" si="1"/>
        <v>45.93333333</v>
      </c>
      <c r="N21" s="29">
        <f t="shared" si="2"/>
        <v>1</v>
      </c>
      <c r="O21" s="30" t="str">
        <f t="shared" si="3"/>
        <v>1</v>
      </c>
      <c r="P21" s="31">
        <f t="shared" si="4"/>
        <v>0</v>
      </c>
      <c r="Q21" s="32">
        <v>98.0</v>
      </c>
    </row>
    <row r="22" ht="15.0" customHeight="1">
      <c r="A22" s="18">
        <v>15.0</v>
      </c>
      <c r="B22" s="128">
        <v>1.11625201077E11</v>
      </c>
      <c r="C22" s="129" t="s">
        <v>140</v>
      </c>
      <c r="D22" s="130" t="s">
        <v>27</v>
      </c>
      <c r="E22" s="130" t="s">
        <v>30</v>
      </c>
      <c r="F22" s="130" t="s">
        <v>32</v>
      </c>
      <c r="G22" s="22"/>
      <c r="H22" s="131">
        <v>88.0</v>
      </c>
      <c r="I22" s="131">
        <v>83.0</v>
      </c>
      <c r="J22" s="19">
        <v>83.0</v>
      </c>
      <c r="K22" s="132">
        <v>86.66666666666667</v>
      </c>
      <c r="L22" s="131">
        <v>100.0</v>
      </c>
      <c r="M22" s="28">
        <f t="shared" si="1"/>
        <v>88.13333333</v>
      </c>
      <c r="N22" s="29">
        <f t="shared" si="2"/>
        <v>0</v>
      </c>
      <c r="O22" s="30" t="str">
        <f t="shared" si="3"/>
        <v>0</v>
      </c>
      <c r="P22" s="31">
        <f t="shared" si="4"/>
        <v>0</v>
      </c>
      <c r="Q22" s="32">
        <v>100.0</v>
      </c>
    </row>
    <row r="23" ht="15.0" customHeight="1">
      <c r="A23" s="18">
        <v>16.0</v>
      </c>
      <c r="B23" s="128">
        <v>1.11625201078E11</v>
      </c>
      <c r="C23" s="129" t="s">
        <v>141</v>
      </c>
      <c r="D23" s="130" t="s">
        <v>27</v>
      </c>
      <c r="E23" s="130" t="s">
        <v>24</v>
      </c>
      <c r="F23" s="130" t="s">
        <v>23</v>
      </c>
      <c r="G23" s="22"/>
      <c r="H23" s="131">
        <v>56.0</v>
      </c>
      <c r="I23" s="131">
        <v>63.0</v>
      </c>
      <c r="J23" s="19">
        <v>80.0</v>
      </c>
      <c r="K23" s="132">
        <v>76.66666666666667</v>
      </c>
      <c r="L23" s="131">
        <v>50.0</v>
      </c>
      <c r="M23" s="28">
        <f t="shared" si="1"/>
        <v>65.13333333</v>
      </c>
      <c r="N23" s="29">
        <f t="shared" si="2"/>
        <v>0</v>
      </c>
      <c r="O23" s="30"/>
      <c r="P23" s="31"/>
      <c r="Q23" s="32">
        <v>100.0</v>
      </c>
    </row>
    <row r="24" ht="15.0" customHeight="1">
      <c r="A24" s="18">
        <v>17.0</v>
      </c>
      <c r="B24" s="128">
        <v>1.11625201079E11</v>
      </c>
      <c r="C24" s="129" t="s">
        <v>142</v>
      </c>
      <c r="D24" s="130" t="s">
        <v>23</v>
      </c>
      <c r="E24" s="130" t="s">
        <v>24</v>
      </c>
      <c r="F24" s="130" t="s">
        <v>32</v>
      </c>
      <c r="G24" s="22"/>
      <c r="H24" s="131">
        <v>74.0</v>
      </c>
      <c r="I24" s="131">
        <v>57.0</v>
      </c>
      <c r="J24" s="19">
        <v>50.0</v>
      </c>
      <c r="K24" s="132">
        <v>60.0</v>
      </c>
      <c r="L24" s="131">
        <v>73.0</v>
      </c>
      <c r="M24" s="28">
        <f t="shared" si="1"/>
        <v>62.8</v>
      </c>
      <c r="N24" s="29">
        <f t="shared" si="2"/>
        <v>0</v>
      </c>
      <c r="O24" s="30"/>
      <c r="P24" s="31"/>
      <c r="Q24" s="32">
        <v>100.0</v>
      </c>
    </row>
    <row r="25" ht="15.0" customHeight="1">
      <c r="A25" s="18">
        <v>18.0</v>
      </c>
      <c r="B25" s="128">
        <v>1.1162520108E11</v>
      </c>
      <c r="C25" s="129" t="s">
        <v>143</v>
      </c>
      <c r="D25" s="130" t="s">
        <v>23</v>
      </c>
      <c r="E25" s="130" t="s">
        <v>24</v>
      </c>
      <c r="F25" s="130" t="s">
        <v>23</v>
      </c>
      <c r="G25" s="22"/>
      <c r="H25" s="131">
        <v>95.0</v>
      </c>
      <c r="I25" s="131">
        <v>90.0</v>
      </c>
      <c r="J25" s="19">
        <v>87.0</v>
      </c>
      <c r="K25" s="134">
        <v>75.0</v>
      </c>
      <c r="L25" s="131">
        <v>53.0</v>
      </c>
      <c r="M25" s="28">
        <f t="shared" si="1"/>
        <v>80</v>
      </c>
      <c r="N25" s="29">
        <f t="shared" si="2"/>
        <v>0</v>
      </c>
      <c r="O25" s="30"/>
      <c r="P25" s="31"/>
      <c r="Q25" s="32">
        <v>94.0</v>
      </c>
    </row>
    <row r="26" ht="15.0" customHeight="1">
      <c r="A26" s="18">
        <v>19.0</v>
      </c>
      <c r="B26" s="128">
        <v>1.11625201081E11</v>
      </c>
      <c r="C26" s="129" t="s">
        <v>144</v>
      </c>
      <c r="D26" s="130" t="s">
        <v>23</v>
      </c>
      <c r="E26" s="130" t="s">
        <v>24</v>
      </c>
      <c r="F26" s="130" t="s">
        <v>32</v>
      </c>
      <c r="G26" s="22"/>
      <c r="H26" s="131">
        <v>100.0</v>
      </c>
      <c r="I26" s="131">
        <v>83.0</v>
      </c>
      <c r="J26" s="19">
        <v>63.0</v>
      </c>
      <c r="K26" s="132">
        <v>83.33333333333334</v>
      </c>
      <c r="L26" s="131">
        <v>97.0</v>
      </c>
      <c r="M26" s="28">
        <f t="shared" si="1"/>
        <v>85.26666667</v>
      </c>
      <c r="N26" s="29">
        <f t="shared" si="2"/>
        <v>0</v>
      </c>
      <c r="O26" s="30"/>
      <c r="P26" s="31"/>
      <c r="Q26" s="32">
        <v>100.0</v>
      </c>
    </row>
    <row r="27" ht="15.0" customHeight="1">
      <c r="A27" s="18">
        <v>20.0</v>
      </c>
      <c r="B27" s="128">
        <v>1.11625201082E11</v>
      </c>
      <c r="C27" s="129" t="s">
        <v>145</v>
      </c>
      <c r="D27" s="130" t="s">
        <v>23</v>
      </c>
      <c r="E27" s="130" t="s">
        <v>24</v>
      </c>
      <c r="F27" s="130" t="s">
        <v>32</v>
      </c>
      <c r="G27" s="22"/>
      <c r="H27" s="131">
        <v>52.0</v>
      </c>
      <c r="I27" s="131">
        <v>77.0</v>
      </c>
      <c r="J27" s="19">
        <v>26.0</v>
      </c>
      <c r="K27" s="132">
        <v>26.666666666666668</v>
      </c>
      <c r="L27" s="131">
        <v>97.0</v>
      </c>
      <c r="M27" s="28">
        <f t="shared" si="1"/>
        <v>55.73333333</v>
      </c>
      <c r="N27" s="29">
        <f t="shared" si="2"/>
        <v>2</v>
      </c>
      <c r="O27" s="30"/>
      <c r="P27" s="31"/>
      <c r="Q27" s="32">
        <v>100.0</v>
      </c>
    </row>
    <row r="28" ht="15.0" customHeight="1">
      <c r="A28" s="18">
        <v>21.0</v>
      </c>
      <c r="B28" s="128">
        <v>1.11625201083E11</v>
      </c>
      <c r="C28" s="129" t="s">
        <v>146</v>
      </c>
      <c r="D28" s="130" t="s">
        <v>23</v>
      </c>
      <c r="E28" s="130" t="s">
        <v>24</v>
      </c>
      <c r="F28" s="130" t="s">
        <v>32</v>
      </c>
      <c r="G28" s="22"/>
      <c r="H28" s="131">
        <v>50.0</v>
      </c>
      <c r="I28" s="131">
        <v>63.0</v>
      </c>
      <c r="J28" s="19">
        <v>50.0</v>
      </c>
      <c r="K28" s="132">
        <v>80.0</v>
      </c>
      <c r="L28" s="131">
        <v>60.0</v>
      </c>
      <c r="M28" s="28">
        <f t="shared" si="1"/>
        <v>60.6</v>
      </c>
      <c r="N28" s="29">
        <f t="shared" si="2"/>
        <v>0</v>
      </c>
      <c r="O28" s="30"/>
      <c r="P28" s="31"/>
      <c r="Q28" s="32">
        <v>100.0</v>
      </c>
    </row>
    <row r="29" ht="15.0" customHeight="1">
      <c r="A29" s="18">
        <v>22.0</v>
      </c>
      <c r="B29" s="128">
        <v>1.11625201084E11</v>
      </c>
      <c r="C29" s="129" t="s">
        <v>147</v>
      </c>
      <c r="D29" s="130" t="s">
        <v>23</v>
      </c>
      <c r="E29" s="130" t="s">
        <v>24</v>
      </c>
      <c r="F29" s="130" t="s">
        <v>23</v>
      </c>
      <c r="G29" s="22"/>
      <c r="H29" s="131">
        <v>11.0</v>
      </c>
      <c r="I29" s="131">
        <v>50.0</v>
      </c>
      <c r="J29" s="19">
        <v>0.0</v>
      </c>
      <c r="K29" s="132">
        <v>26.666666666666668</v>
      </c>
      <c r="L29" s="131">
        <v>37.0</v>
      </c>
      <c r="M29" s="28">
        <f t="shared" si="1"/>
        <v>24.93333333</v>
      </c>
      <c r="N29" s="29">
        <f t="shared" si="2"/>
        <v>4</v>
      </c>
      <c r="O29" s="30"/>
      <c r="P29" s="31"/>
      <c r="Q29" s="32">
        <v>100.0</v>
      </c>
    </row>
    <row r="30" ht="15.0" customHeight="1">
      <c r="A30" s="18">
        <v>23.0</v>
      </c>
      <c r="B30" s="128">
        <v>1.11625201085E11</v>
      </c>
      <c r="C30" s="129" t="s">
        <v>148</v>
      </c>
      <c r="D30" s="130" t="s">
        <v>27</v>
      </c>
      <c r="E30" s="130" t="s">
        <v>30</v>
      </c>
      <c r="F30" s="130" t="s">
        <v>32</v>
      </c>
      <c r="G30" s="22"/>
      <c r="H30" s="131">
        <v>53.0</v>
      </c>
      <c r="I30" s="131">
        <v>80.0</v>
      </c>
      <c r="J30" s="19">
        <v>76.0</v>
      </c>
      <c r="K30" s="132">
        <v>53.333333333333336</v>
      </c>
      <c r="L30" s="131">
        <v>77.0</v>
      </c>
      <c r="M30" s="28">
        <f t="shared" si="1"/>
        <v>67.86666667</v>
      </c>
      <c r="N30" s="29">
        <f t="shared" si="2"/>
        <v>0</v>
      </c>
      <c r="O30" s="30"/>
      <c r="P30" s="31"/>
      <c r="Q30" s="32">
        <v>98.0</v>
      </c>
    </row>
    <row r="31" ht="15.0" customHeight="1">
      <c r="A31" s="18">
        <v>24.0</v>
      </c>
      <c r="B31" s="128">
        <v>1.11625201086E11</v>
      </c>
      <c r="C31" s="129" t="s">
        <v>149</v>
      </c>
      <c r="D31" s="130" t="s">
        <v>23</v>
      </c>
      <c r="E31" s="130" t="s">
        <v>30</v>
      </c>
      <c r="F31" s="130" t="s">
        <v>32</v>
      </c>
      <c r="G31" s="22"/>
      <c r="H31" s="131">
        <v>74.0</v>
      </c>
      <c r="I31" s="131">
        <v>77.0</v>
      </c>
      <c r="J31" s="19">
        <v>100.0</v>
      </c>
      <c r="K31" s="132">
        <v>83.33333333333334</v>
      </c>
      <c r="L31" s="131">
        <v>97.0</v>
      </c>
      <c r="M31" s="28">
        <f t="shared" si="1"/>
        <v>86.26666667</v>
      </c>
      <c r="N31" s="29">
        <f t="shared" si="2"/>
        <v>0</v>
      </c>
      <c r="O31" s="30"/>
      <c r="P31" s="31"/>
      <c r="Q31" s="32">
        <v>96.0</v>
      </c>
    </row>
    <row r="32" ht="15.0" customHeight="1">
      <c r="A32" s="18">
        <v>25.0</v>
      </c>
      <c r="B32" s="128">
        <v>1.11625201087E11</v>
      </c>
      <c r="C32" s="129" t="s">
        <v>150</v>
      </c>
      <c r="D32" s="130" t="s">
        <v>23</v>
      </c>
      <c r="E32" s="130" t="s">
        <v>30</v>
      </c>
      <c r="F32" s="130" t="s">
        <v>23</v>
      </c>
      <c r="G32" s="22"/>
      <c r="H32" s="131">
        <v>60.0</v>
      </c>
      <c r="I32" s="131">
        <v>53.0</v>
      </c>
      <c r="J32" s="19">
        <v>50.0</v>
      </c>
      <c r="K32" s="132">
        <v>26.666666666666668</v>
      </c>
      <c r="L32" s="131">
        <v>50.0</v>
      </c>
      <c r="M32" s="28">
        <f t="shared" si="1"/>
        <v>47.93333333</v>
      </c>
      <c r="N32" s="29">
        <f t="shared" si="2"/>
        <v>1</v>
      </c>
      <c r="O32" s="30"/>
      <c r="P32" s="31"/>
      <c r="Q32" s="32">
        <v>98.0</v>
      </c>
    </row>
    <row r="33" ht="15.0" customHeight="1">
      <c r="A33" s="18">
        <v>26.0</v>
      </c>
      <c r="B33" s="128">
        <v>1.11625201088E11</v>
      </c>
      <c r="C33" s="129" t="s">
        <v>151</v>
      </c>
      <c r="D33" s="130" t="s">
        <v>27</v>
      </c>
      <c r="E33" s="130" t="s">
        <v>30</v>
      </c>
      <c r="F33" s="130" t="s">
        <v>32</v>
      </c>
      <c r="G33" s="22"/>
      <c r="H33" s="131">
        <v>77.0</v>
      </c>
      <c r="I33" s="131">
        <v>87.0</v>
      </c>
      <c r="J33" s="19">
        <v>96.0</v>
      </c>
      <c r="K33" s="132">
        <v>76.66666666666667</v>
      </c>
      <c r="L33" s="131">
        <v>100.0</v>
      </c>
      <c r="M33" s="28">
        <f t="shared" si="1"/>
        <v>87.33333333</v>
      </c>
      <c r="N33" s="29">
        <f t="shared" si="2"/>
        <v>0</v>
      </c>
      <c r="O33" s="30"/>
      <c r="P33" s="31"/>
      <c r="Q33" s="32">
        <v>98.0</v>
      </c>
    </row>
    <row r="34" ht="15.0" customHeight="1">
      <c r="A34" s="18">
        <v>27.0</v>
      </c>
      <c r="B34" s="128">
        <v>1.11625201089E11</v>
      </c>
      <c r="C34" s="129" t="s">
        <v>152</v>
      </c>
      <c r="D34" s="130" t="s">
        <v>23</v>
      </c>
      <c r="E34" s="130" t="s">
        <v>24</v>
      </c>
      <c r="F34" s="130" t="s">
        <v>32</v>
      </c>
      <c r="G34" s="22"/>
      <c r="H34" s="131">
        <v>74.0</v>
      </c>
      <c r="I34" s="131">
        <v>77.0</v>
      </c>
      <c r="J34" s="19">
        <v>73.0</v>
      </c>
      <c r="K34" s="132">
        <v>90.0</v>
      </c>
      <c r="L34" s="131">
        <v>67.0</v>
      </c>
      <c r="M34" s="28">
        <f t="shared" si="1"/>
        <v>76.2</v>
      </c>
      <c r="N34" s="29">
        <f t="shared" si="2"/>
        <v>0</v>
      </c>
      <c r="O34" s="30"/>
      <c r="P34" s="31"/>
      <c r="Q34" s="32">
        <v>100.0</v>
      </c>
    </row>
    <row r="35" ht="15.0" customHeight="1">
      <c r="A35" s="18">
        <v>28.0</v>
      </c>
      <c r="B35" s="128">
        <v>1.1162520109E11</v>
      </c>
      <c r="C35" s="129" t="s">
        <v>153</v>
      </c>
      <c r="D35" s="130" t="s">
        <v>27</v>
      </c>
      <c r="E35" s="130" t="s">
        <v>24</v>
      </c>
      <c r="F35" s="130" t="s">
        <v>23</v>
      </c>
      <c r="G35" s="22"/>
      <c r="H35" s="131">
        <v>95.0</v>
      </c>
      <c r="I35" s="131">
        <v>87.0</v>
      </c>
      <c r="J35" s="19">
        <v>63.0</v>
      </c>
      <c r="K35" s="132">
        <v>53.333333333333336</v>
      </c>
      <c r="L35" s="131">
        <v>23.0</v>
      </c>
      <c r="M35" s="28">
        <f t="shared" si="1"/>
        <v>64.26666667</v>
      </c>
      <c r="N35" s="29">
        <f t="shared" si="2"/>
        <v>1</v>
      </c>
      <c r="O35" s="30"/>
      <c r="P35" s="31"/>
      <c r="Q35" s="32">
        <v>100.0</v>
      </c>
    </row>
    <row r="36" ht="15.0" customHeight="1">
      <c r="A36" s="18">
        <v>29.0</v>
      </c>
      <c r="B36" s="128">
        <v>1.11625201091E11</v>
      </c>
      <c r="C36" s="129" t="s">
        <v>154</v>
      </c>
      <c r="D36" s="130" t="s">
        <v>27</v>
      </c>
      <c r="E36" s="130" t="s">
        <v>30</v>
      </c>
      <c r="F36" s="130" t="s">
        <v>32</v>
      </c>
      <c r="G36" s="22"/>
      <c r="H36" s="131">
        <v>74.0</v>
      </c>
      <c r="I36" s="131">
        <v>77.0</v>
      </c>
      <c r="J36" s="19">
        <v>93.0</v>
      </c>
      <c r="K36" s="132">
        <v>76.66666666666667</v>
      </c>
      <c r="L36" s="131">
        <v>100.0</v>
      </c>
      <c r="M36" s="28">
        <f t="shared" si="1"/>
        <v>84.13333333</v>
      </c>
      <c r="N36" s="29">
        <f t="shared" si="2"/>
        <v>0</v>
      </c>
      <c r="O36" s="30"/>
      <c r="P36" s="31"/>
      <c r="Q36" s="32">
        <v>100.0</v>
      </c>
    </row>
    <row r="37" ht="15.0" customHeight="1">
      <c r="A37" s="18">
        <v>30.0</v>
      </c>
      <c r="B37" s="128">
        <v>1.11625201092E11</v>
      </c>
      <c r="C37" s="129" t="s">
        <v>155</v>
      </c>
      <c r="D37" s="130" t="s">
        <v>23</v>
      </c>
      <c r="E37" s="130" t="s">
        <v>24</v>
      </c>
      <c r="F37" s="130" t="s">
        <v>23</v>
      </c>
      <c r="G37" s="22"/>
      <c r="H37" s="131">
        <v>52.0</v>
      </c>
      <c r="I37" s="131">
        <v>17.0</v>
      </c>
      <c r="J37" s="19">
        <v>33.0</v>
      </c>
      <c r="K37" s="132">
        <v>33.33333333333333</v>
      </c>
      <c r="L37" s="131">
        <v>60.0</v>
      </c>
      <c r="M37" s="28">
        <f t="shared" si="1"/>
        <v>39.06666667</v>
      </c>
      <c r="N37" s="29">
        <f t="shared" si="2"/>
        <v>3</v>
      </c>
      <c r="O37" s="30"/>
      <c r="P37" s="31"/>
      <c r="Q37" s="32">
        <v>100.0</v>
      </c>
    </row>
    <row r="38" ht="15.0" customHeight="1">
      <c r="A38" s="18">
        <v>31.0</v>
      </c>
      <c r="B38" s="128">
        <v>1.11625201093E11</v>
      </c>
      <c r="C38" s="129" t="s">
        <v>156</v>
      </c>
      <c r="D38" s="130" t="s">
        <v>27</v>
      </c>
      <c r="E38" s="130" t="s">
        <v>30</v>
      </c>
      <c r="F38" s="130" t="s">
        <v>32</v>
      </c>
      <c r="G38" s="22"/>
      <c r="H38" s="131">
        <v>51.0</v>
      </c>
      <c r="I38" s="131">
        <v>70.0</v>
      </c>
      <c r="J38" s="19">
        <v>60.0</v>
      </c>
      <c r="K38" s="132">
        <v>50.0</v>
      </c>
      <c r="L38" s="131">
        <v>0.0</v>
      </c>
      <c r="M38" s="28">
        <f t="shared" si="1"/>
        <v>46.2</v>
      </c>
      <c r="N38" s="29">
        <f t="shared" si="2"/>
        <v>1</v>
      </c>
      <c r="O38" s="30"/>
      <c r="P38" s="31"/>
      <c r="Q38" s="32">
        <v>94.0</v>
      </c>
    </row>
    <row r="39" ht="15.0" customHeight="1">
      <c r="A39" s="18">
        <v>32.0</v>
      </c>
      <c r="B39" s="128">
        <v>1.11625201094E11</v>
      </c>
      <c r="C39" s="129" t="s">
        <v>157</v>
      </c>
      <c r="D39" s="130" t="s">
        <v>27</v>
      </c>
      <c r="E39" s="130" t="s">
        <v>24</v>
      </c>
      <c r="F39" s="130" t="s">
        <v>23</v>
      </c>
      <c r="G39" s="22"/>
      <c r="H39" s="131">
        <v>88.0</v>
      </c>
      <c r="I39" s="131">
        <v>83.0</v>
      </c>
      <c r="J39" s="19">
        <v>90.0</v>
      </c>
      <c r="K39" s="134">
        <v>80.0</v>
      </c>
      <c r="L39" s="131">
        <v>80.0</v>
      </c>
      <c r="M39" s="28">
        <f t="shared" si="1"/>
        <v>84.2</v>
      </c>
      <c r="N39" s="29">
        <f t="shared" si="2"/>
        <v>0</v>
      </c>
      <c r="O39" s="30"/>
      <c r="P39" s="31"/>
      <c r="Q39" s="32">
        <v>100.0</v>
      </c>
    </row>
    <row r="40" ht="15.0" customHeight="1">
      <c r="A40" s="18">
        <v>33.0</v>
      </c>
      <c r="B40" s="128">
        <v>1.11625201095E11</v>
      </c>
      <c r="C40" s="129" t="s">
        <v>158</v>
      </c>
      <c r="D40" s="130" t="s">
        <v>23</v>
      </c>
      <c r="E40" s="130" t="s">
        <v>30</v>
      </c>
      <c r="F40" s="130" t="s">
        <v>23</v>
      </c>
      <c r="G40" s="22"/>
      <c r="H40" s="131">
        <v>28.0</v>
      </c>
      <c r="I40" s="131">
        <v>60.0</v>
      </c>
      <c r="J40" s="19" t="s">
        <v>25</v>
      </c>
      <c r="K40" s="132">
        <v>26.666666666666668</v>
      </c>
      <c r="L40" s="131">
        <v>23.0</v>
      </c>
      <c r="M40" s="28">
        <f t="shared" si="1"/>
        <v>27.53333333</v>
      </c>
      <c r="N40" s="29">
        <f t="shared" si="2"/>
        <v>4</v>
      </c>
      <c r="O40" s="30"/>
      <c r="P40" s="31"/>
      <c r="Q40" s="32">
        <v>83.0</v>
      </c>
    </row>
    <row r="41" ht="15.0" customHeight="1">
      <c r="A41" s="18">
        <v>34.0</v>
      </c>
      <c r="B41" s="128">
        <v>1.11625201096E11</v>
      </c>
      <c r="C41" s="129" t="s">
        <v>159</v>
      </c>
      <c r="D41" s="130" t="s">
        <v>23</v>
      </c>
      <c r="E41" s="130" t="s">
        <v>24</v>
      </c>
      <c r="F41" s="130" t="s">
        <v>32</v>
      </c>
      <c r="G41" s="22"/>
      <c r="H41" s="131">
        <v>50.0</v>
      </c>
      <c r="I41" s="131">
        <v>63.0</v>
      </c>
      <c r="J41" s="19">
        <v>30.0</v>
      </c>
      <c r="K41" s="132">
        <v>20.0</v>
      </c>
      <c r="L41" s="131">
        <v>27.0</v>
      </c>
      <c r="M41" s="28">
        <f t="shared" si="1"/>
        <v>38</v>
      </c>
      <c r="N41" s="29">
        <f t="shared" si="2"/>
        <v>3</v>
      </c>
      <c r="O41" s="30"/>
      <c r="P41" s="31"/>
      <c r="Q41" s="32">
        <v>94.0</v>
      </c>
    </row>
    <row r="42" ht="15.0" customHeight="1">
      <c r="A42" s="18">
        <v>35.0</v>
      </c>
      <c r="B42" s="128">
        <v>1.11625201097E11</v>
      </c>
      <c r="C42" s="129" t="s">
        <v>160</v>
      </c>
      <c r="D42" s="130" t="s">
        <v>27</v>
      </c>
      <c r="E42" s="130" t="s">
        <v>30</v>
      </c>
      <c r="F42" s="130" t="s">
        <v>23</v>
      </c>
      <c r="G42" s="22"/>
      <c r="H42" s="131">
        <v>60.0</v>
      </c>
      <c r="I42" s="131">
        <v>63.0</v>
      </c>
      <c r="J42" s="19">
        <v>53.0</v>
      </c>
      <c r="K42" s="132">
        <v>56.666666666666664</v>
      </c>
      <c r="L42" s="131">
        <v>60.0</v>
      </c>
      <c r="M42" s="28">
        <f t="shared" si="1"/>
        <v>58.53333333</v>
      </c>
      <c r="N42" s="29">
        <f t="shared" si="2"/>
        <v>0</v>
      </c>
      <c r="O42" s="30"/>
      <c r="P42" s="31"/>
      <c r="Q42" s="32">
        <v>98.0</v>
      </c>
    </row>
    <row r="43" ht="15.0" customHeight="1">
      <c r="A43" s="18">
        <v>36.0</v>
      </c>
      <c r="B43" s="128">
        <v>1.11625201098E11</v>
      </c>
      <c r="C43" s="129" t="s">
        <v>161</v>
      </c>
      <c r="D43" s="130" t="s">
        <v>27</v>
      </c>
      <c r="E43" s="130" t="s">
        <v>30</v>
      </c>
      <c r="F43" s="130" t="s">
        <v>32</v>
      </c>
      <c r="G43" s="22"/>
      <c r="H43" s="131">
        <v>77.0</v>
      </c>
      <c r="I43" s="131">
        <v>83.0</v>
      </c>
      <c r="J43" s="19">
        <v>96.0</v>
      </c>
      <c r="K43" s="132">
        <v>76.66666666666667</v>
      </c>
      <c r="L43" s="131">
        <v>50.0</v>
      </c>
      <c r="M43" s="28">
        <f t="shared" si="1"/>
        <v>76.53333333</v>
      </c>
      <c r="N43" s="29">
        <f t="shared" si="2"/>
        <v>0</v>
      </c>
      <c r="O43" s="30"/>
      <c r="P43" s="31"/>
      <c r="Q43" s="32">
        <v>94.0</v>
      </c>
    </row>
    <row r="44" ht="15.0" customHeight="1">
      <c r="A44" s="18">
        <v>37.0</v>
      </c>
      <c r="B44" s="128">
        <v>1.11625201099E11</v>
      </c>
      <c r="C44" s="129" t="s">
        <v>162</v>
      </c>
      <c r="D44" s="130" t="s">
        <v>27</v>
      </c>
      <c r="E44" s="130" t="s">
        <v>30</v>
      </c>
      <c r="F44" s="130" t="s">
        <v>23</v>
      </c>
      <c r="G44" s="22"/>
      <c r="H44" s="131">
        <v>51.0</v>
      </c>
      <c r="I44" s="131">
        <v>53.0</v>
      </c>
      <c r="J44" s="19">
        <v>50.0</v>
      </c>
      <c r="K44" s="132">
        <v>66.66666666666666</v>
      </c>
      <c r="L44" s="131" t="s">
        <v>25</v>
      </c>
      <c r="M44" s="28">
        <f t="shared" si="1"/>
        <v>44.13333333</v>
      </c>
      <c r="N44" s="29">
        <f t="shared" si="2"/>
        <v>1</v>
      </c>
      <c r="O44" s="30" t="str">
        <f t="shared" ref="O44:O69" si="5">IF((N44&lt;1),"0","1")</f>
        <v>1</v>
      </c>
      <c r="P44" s="31">
        <f t="shared" ref="P44:P69" si="6">COUNTIF((H44:L44),"=A")</f>
        <v>1</v>
      </c>
      <c r="Q44" s="32">
        <v>89.0</v>
      </c>
    </row>
    <row r="45" ht="15.0" customHeight="1">
      <c r="A45" s="18">
        <v>38.0</v>
      </c>
      <c r="B45" s="128">
        <v>1.116252011E11</v>
      </c>
      <c r="C45" s="129" t="s">
        <v>163</v>
      </c>
      <c r="D45" s="130" t="s">
        <v>23</v>
      </c>
      <c r="E45" s="130" t="s">
        <v>30</v>
      </c>
      <c r="F45" s="130" t="s">
        <v>23</v>
      </c>
      <c r="G45" s="22"/>
      <c r="H45" s="131">
        <v>15.0</v>
      </c>
      <c r="I45" s="131">
        <v>33.0</v>
      </c>
      <c r="J45" s="19">
        <v>50.0</v>
      </c>
      <c r="K45" s="132">
        <v>16.666666666666664</v>
      </c>
      <c r="L45" s="131">
        <v>20.0</v>
      </c>
      <c r="M45" s="28">
        <f t="shared" si="1"/>
        <v>26.93333333</v>
      </c>
      <c r="N45" s="29">
        <f t="shared" si="2"/>
        <v>4</v>
      </c>
      <c r="O45" s="30" t="str">
        <f t="shared" si="5"/>
        <v>1</v>
      </c>
      <c r="P45" s="31">
        <f t="shared" si="6"/>
        <v>0</v>
      </c>
      <c r="Q45" s="32">
        <v>94.0</v>
      </c>
    </row>
    <row r="46" ht="15.0" customHeight="1">
      <c r="A46" s="18">
        <v>39.0</v>
      </c>
      <c r="B46" s="128">
        <v>1.11625201101E11</v>
      </c>
      <c r="C46" s="129" t="s">
        <v>164</v>
      </c>
      <c r="D46" s="130" t="s">
        <v>23</v>
      </c>
      <c r="E46" s="130" t="s">
        <v>24</v>
      </c>
      <c r="F46" s="130" t="s">
        <v>32</v>
      </c>
      <c r="G46" s="22"/>
      <c r="H46" s="131">
        <v>17.0</v>
      </c>
      <c r="I46" s="131">
        <v>67.0</v>
      </c>
      <c r="J46" s="19">
        <v>26.0</v>
      </c>
      <c r="K46" s="132">
        <v>50.0</v>
      </c>
      <c r="L46" s="131">
        <v>73.0</v>
      </c>
      <c r="M46" s="28">
        <f t="shared" si="1"/>
        <v>46.6</v>
      </c>
      <c r="N46" s="29">
        <f t="shared" si="2"/>
        <v>2</v>
      </c>
      <c r="O46" s="30" t="str">
        <f t="shared" si="5"/>
        <v>1</v>
      </c>
      <c r="P46" s="31">
        <f t="shared" si="6"/>
        <v>0</v>
      </c>
      <c r="Q46" s="32">
        <v>91.0</v>
      </c>
    </row>
    <row r="47" ht="15.0" customHeight="1">
      <c r="A47" s="18">
        <v>40.0</v>
      </c>
      <c r="B47" s="128">
        <v>1.11625201102E11</v>
      </c>
      <c r="C47" s="129" t="s">
        <v>165</v>
      </c>
      <c r="D47" s="130" t="s">
        <v>27</v>
      </c>
      <c r="E47" s="130" t="s">
        <v>24</v>
      </c>
      <c r="F47" s="130" t="s">
        <v>23</v>
      </c>
      <c r="G47" s="22"/>
      <c r="H47" s="131">
        <v>67.0</v>
      </c>
      <c r="I47" s="131">
        <v>80.0</v>
      </c>
      <c r="J47" s="19">
        <v>80.0</v>
      </c>
      <c r="K47" s="132">
        <v>60.0</v>
      </c>
      <c r="L47" s="131">
        <v>50.0</v>
      </c>
      <c r="M47" s="28">
        <f t="shared" si="1"/>
        <v>67.4</v>
      </c>
      <c r="N47" s="29">
        <f t="shared" si="2"/>
        <v>0</v>
      </c>
      <c r="O47" s="30" t="str">
        <f t="shared" si="5"/>
        <v>0</v>
      </c>
      <c r="P47" s="31">
        <f t="shared" si="6"/>
        <v>0</v>
      </c>
      <c r="Q47" s="32">
        <v>100.0</v>
      </c>
    </row>
    <row r="48" ht="15.0" customHeight="1">
      <c r="A48" s="18">
        <v>41.0</v>
      </c>
      <c r="B48" s="128">
        <v>1.11625201103E11</v>
      </c>
      <c r="C48" s="129" t="s">
        <v>166</v>
      </c>
      <c r="D48" s="130" t="s">
        <v>23</v>
      </c>
      <c r="E48" s="130" t="s">
        <v>30</v>
      </c>
      <c r="F48" s="130" t="s">
        <v>23</v>
      </c>
      <c r="G48" s="22"/>
      <c r="H48" s="131">
        <v>50.0</v>
      </c>
      <c r="I48" s="131">
        <v>63.0</v>
      </c>
      <c r="J48" s="19">
        <v>53.0</v>
      </c>
      <c r="K48" s="132">
        <v>66.66666666666666</v>
      </c>
      <c r="L48" s="131">
        <v>53.0</v>
      </c>
      <c r="M48" s="28">
        <f t="shared" si="1"/>
        <v>57.13333333</v>
      </c>
      <c r="N48" s="29">
        <f t="shared" si="2"/>
        <v>0</v>
      </c>
      <c r="O48" s="30" t="str">
        <f t="shared" si="5"/>
        <v>0</v>
      </c>
      <c r="P48" s="31">
        <f t="shared" si="6"/>
        <v>0</v>
      </c>
      <c r="Q48" s="32">
        <v>96.0</v>
      </c>
    </row>
    <row r="49" ht="15.0" customHeight="1">
      <c r="A49" s="18">
        <v>42.0</v>
      </c>
      <c r="B49" s="128">
        <v>1.11625201104E11</v>
      </c>
      <c r="C49" s="129" t="s">
        <v>167</v>
      </c>
      <c r="D49" s="130" t="s">
        <v>27</v>
      </c>
      <c r="E49" s="130" t="s">
        <v>30</v>
      </c>
      <c r="F49" s="130" t="s">
        <v>23</v>
      </c>
      <c r="G49" s="22"/>
      <c r="H49" s="131" t="s">
        <v>25</v>
      </c>
      <c r="I49" s="131">
        <v>50.0</v>
      </c>
      <c r="J49" s="19">
        <v>50.0</v>
      </c>
      <c r="K49" s="132">
        <v>33.33333333333333</v>
      </c>
      <c r="L49" s="131">
        <v>67.0</v>
      </c>
      <c r="M49" s="28">
        <f t="shared" si="1"/>
        <v>40.06666667</v>
      </c>
      <c r="N49" s="29">
        <f t="shared" si="2"/>
        <v>2</v>
      </c>
      <c r="O49" s="30" t="str">
        <f t="shared" si="5"/>
        <v>1</v>
      </c>
      <c r="P49" s="31">
        <f t="shared" si="6"/>
        <v>1</v>
      </c>
      <c r="Q49" s="32">
        <v>89.0</v>
      </c>
    </row>
    <row r="50" ht="15.0" customHeight="1">
      <c r="A50" s="18">
        <v>43.0</v>
      </c>
      <c r="B50" s="128">
        <v>1.11625201105E11</v>
      </c>
      <c r="C50" s="129" t="s">
        <v>168</v>
      </c>
      <c r="D50" s="130" t="s">
        <v>27</v>
      </c>
      <c r="E50" s="130" t="s">
        <v>24</v>
      </c>
      <c r="F50" s="130" t="s">
        <v>32</v>
      </c>
      <c r="G50" s="22"/>
      <c r="H50" s="131">
        <v>100.0</v>
      </c>
      <c r="I50" s="131">
        <v>87.0</v>
      </c>
      <c r="J50" s="19">
        <v>93.0</v>
      </c>
      <c r="K50" s="134">
        <v>80.0</v>
      </c>
      <c r="L50" s="131">
        <v>90.0</v>
      </c>
      <c r="M50" s="28">
        <f t="shared" si="1"/>
        <v>90</v>
      </c>
      <c r="N50" s="29">
        <f t="shared" si="2"/>
        <v>0</v>
      </c>
      <c r="O50" s="30" t="str">
        <f t="shared" si="5"/>
        <v>0</v>
      </c>
      <c r="P50" s="31">
        <f t="shared" si="6"/>
        <v>0</v>
      </c>
      <c r="Q50" s="32">
        <v>100.0</v>
      </c>
    </row>
    <row r="51" ht="16.5" customHeight="1">
      <c r="A51" s="18">
        <v>44.0</v>
      </c>
      <c r="B51" s="128">
        <v>1.11625201106E11</v>
      </c>
      <c r="C51" s="129" t="s">
        <v>169</v>
      </c>
      <c r="D51" s="130" t="s">
        <v>27</v>
      </c>
      <c r="E51" s="130" t="s">
        <v>30</v>
      </c>
      <c r="F51" s="130" t="s">
        <v>32</v>
      </c>
      <c r="G51" s="22"/>
      <c r="H51" s="131">
        <v>70.0</v>
      </c>
      <c r="I51" s="131">
        <v>73.0</v>
      </c>
      <c r="J51" s="19">
        <v>57.0</v>
      </c>
      <c r="K51" s="132">
        <v>53.333333333333336</v>
      </c>
      <c r="L51" s="131">
        <v>87.0</v>
      </c>
      <c r="M51" s="28">
        <f t="shared" si="1"/>
        <v>68.06666667</v>
      </c>
      <c r="N51" s="29">
        <f t="shared" si="2"/>
        <v>0</v>
      </c>
      <c r="O51" s="30" t="str">
        <f t="shared" si="5"/>
        <v>0</v>
      </c>
      <c r="P51" s="31">
        <f t="shared" si="6"/>
        <v>0</v>
      </c>
      <c r="Q51" s="32">
        <v>100.0</v>
      </c>
    </row>
    <row r="52" ht="16.5" customHeight="1">
      <c r="A52" s="18">
        <v>45.0</v>
      </c>
      <c r="B52" s="128">
        <v>1.11625201107E11</v>
      </c>
      <c r="C52" s="129" t="s">
        <v>170</v>
      </c>
      <c r="D52" s="130" t="s">
        <v>27</v>
      </c>
      <c r="E52" s="130" t="s">
        <v>30</v>
      </c>
      <c r="F52" s="130" t="s">
        <v>32</v>
      </c>
      <c r="G52" s="22"/>
      <c r="H52" s="131">
        <v>50.0</v>
      </c>
      <c r="I52" s="131">
        <v>77.0</v>
      </c>
      <c r="J52" s="19">
        <v>76.0</v>
      </c>
      <c r="K52" s="132">
        <v>53.333333333333336</v>
      </c>
      <c r="L52" s="131">
        <v>63.0</v>
      </c>
      <c r="M52" s="28">
        <f t="shared" si="1"/>
        <v>63.86666667</v>
      </c>
      <c r="N52" s="29">
        <f t="shared" si="2"/>
        <v>0</v>
      </c>
      <c r="O52" s="30" t="str">
        <f t="shared" si="5"/>
        <v>0</v>
      </c>
      <c r="P52" s="31">
        <f t="shared" si="6"/>
        <v>0</v>
      </c>
      <c r="Q52" s="32">
        <v>96.0</v>
      </c>
    </row>
    <row r="53" ht="16.5" customHeight="1">
      <c r="A53" s="18">
        <v>46.0</v>
      </c>
      <c r="B53" s="128">
        <v>1.11625201108E11</v>
      </c>
      <c r="C53" s="129" t="s">
        <v>171</v>
      </c>
      <c r="D53" s="130" t="s">
        <v>23</v>
      </c>
      <c r="E53" s="130" t="s">
        <v>24</v>
      </c>
      <c r="F53" s="130" t="s">
        <v>32</v>
      </c>
      <c r="G53" s="22"/>
      <c r="H53" s="131">
        <v>50.0</v>
      </c>
      <c r="I53" s="131">
        <v>20.0</v>
      </c>
      <c r="J53" s="19">
        <v>7.0</v>
      </c>
      <c r="K53" s="132">
        <v>30.0</v>
      </c>
      <c r="L53" s="131">
        <v>30.0</v>
      </c>
      <c r="M53" s="28">
        <f t="shared" si="1"/>
        <v>27.4</v>
      </c>
      <c r="N53" s="29">
        <f t="shared" si="2"/>
        <v>4</v>
      </c>
      <c r="O53" s="30" t="str">
        <f t="shared" si="5"/>
        <v>1</v>
      </c>
      <c r="P53" s="31">
        <f t="shared" si="6"/>
        <v>0</v>
      </c>
      <c r="Q53" s="32">
        <v>100.0</v>
      </c>
    </row>
    <row r="54" ht="16.5" customHeight="1">
      <c r="A54" s="18">
        <v>47.0</v>
      </c>
      <c r="B54" s="128">
        <v>1.11625201109E11</v>
      </c>
      <c r="C54" s="129" t="s">
        <v>172</v>
      </c>
      <c r="D54" s="130" t="s">
        <v>23</v>
      </c>
      <c r="E54" s="130" t="s">
        <v>30</v>
      </c>
      <c r="F54" s="130" t="s">
        <v>23</v>
      </c>
      <c r="G54" s="22"/>
      <c r="H54" s="131">
        <v>95.0</v>
      </c>
      <c r="I54" s="131">
        <v>70.0</v>
      </c>
      <c r="J54" s="19">
        <v>33.0</v>
      </c>
      <c r="K54" s="132">
        <v>83.33333333333334</v>
      </c>
      <c r="L54" s="131">
        <v>50.0</v>
      </c>
      <c r="M54" s="28">
        <f t="shared" si="1"/>
        <v>66.26666667</v>
      </c>
      <c r="N54" s="29">
        <f t="shared" si="2"/>
        <v>1</v>
      </c>
      <c r="O54" s="30" t="str">
        <f t="shared" si="5"/>
        <v>1</v>
      </c>
      <c r="P54" s="31">
        <f t="shared" si="6"/>
        <v>0</v>
      </c>
      <c r="Q54" s="32">
        <v>89.0</v>
      </c>
    </row>
    <row r="55" ht="16.5" customHeight="1">
      <c r="A55" s="18">
        <v>48.0</v>
      </c>
      <c r="B55" s="128">
        <v>1.1162520111E11</v>
      </c>
      <c r="C55" s="129" t="s">
        <v>173</v>
      </c>
      <c r="D55" s="130" t="s">
        <v>23</v>
      </c>
      <c r="E55" s="130" t="s">
        <v>24</v>
      </c>
      <c r="F55" s="130" t="s">
        <v>23</v>
      </c>
      <c r="G55" s="22"/>
      <c r="H55" s="131" t="s">
        <v>25</v>
      </c>
      <c r="I55" s="131">
        <v>80.0</v>
      </c>
      <c r="J55" s="19" t="s">
        <v>25</v>
      </c>
      <c r="K55" s="134">
        <v>83.0</v>
      </c>
      <c r="L55" s="131">
        <v>63.0</v>
      </c>
      <c r="M55" s="28">
        <f t="shared" si="1"/>
        <v>45.2</v>
      </c>
      <c r="N55" s="29">
        <f t="shared" si="2"/>
        <v>2</v>
      </c>
      <c r="O55" s="30" t="str">
        <f t="shared" si="5"/>
        <v>1</v>
      </c>
      <c r="P55" s="31">
        <f t="shared" si="6"/>
        <v>2</v>
      </c>
      <c r="Q55" s="32">
        <v>94.0</v>
      </c>
    </row>
    <row r="56" ht="16.5" customHeight="1">
      <c r="A56" s="18">
        <v>49.0</v>
      </c>
      <c r="B56" s="128">
        <v>1.11625201111E11</v>
      </c>
      <c r="C56" s="129" t="s">
        <v>174</v>
      </c>
      <c r="D56" s="130" t="s">
        <v>23</v>
      </c>
      <c r="E56" s="130" t="s">
        <v>24</v>
      </c>
      <c r="F56" s="130" t="s">
        <v>23</v>
      </c>
      <c r="G56" s="22"/>
      <c r="H56" s="131">
        <v>51.0</v>
      </c>
      <c r="I56" s="131">
        <v>13.0</v>
      </c>
      <c r="J56" s="19">
        <v>0.0</v>
      </c>
      <c r="K56" s="132">
        <v>56.666666666666664</v>
      </c>
      <c r="L56" s="131">
        <v>50.0</v>
      </c>
      <c r="M56" s="28">
        <f t="shared" si="1"/>
        <v>34.13333333</v>
      </c>
      <c r="N56" s="29">
        <f t="shared" si="2"/>
        <v>2</v>
      </c>
      <c r="O56" s="30" t="str">
        <f t="shared" si="5"/>
        <v>1</v>
      </c>
      <c r="P56" s="31">
        <f t="shared" si="6"/>
        <v>0</v>
      </c>
      <c r="Q56" s="32">
        <v>89.0</v>
      </c>
    </row>
    <row r="57" ht="16.5" customHeight="1">
      <c r="A57" s="18">
        <v>50.0</v>
      </c>
      <c r="B57" s="128">
        <v>1.11625201112E11</v>
      </c>
      <c r="C57" s="129" t="s">
        <v>175</v>
      </c>
      <c r="D57" s="130" t="s">
        <v>27</v>
      </c>
      <c r="E57" s="130" t="s">
        <v>30</v>
      </c>
      <c r="F57" s="130" t="s">
        <v>32</v>
      </c>
      <c r="G57" s="22"/>
      <c r="H57" s="131">
        <v>95.0</v>
      </c>
      <c r="I57" s="131">
        <v>50.0</v>
      </c>
      <c r="J57" s="19">
        <v>52.0</v>
      </c>
      <c r="K57" s="132">
        <v>66.66666666666666</v>
      </c>
      <c r="L57" s="131">
        <v>50.0</v>
      </c>
      <c r="M57" s="28">
        <f t="shared" si="1"/>
        <v>62.73333333</v>
      </c>
      <c r="N57" s="29">
        <f t="shared" si="2"/>
        <v>0</v>
      </c>
      <c r="O57" s="30" t="str">
        <f t="shared" si="5"/>
        <v>0</v>
      </c>
      <c r="P57" s="31">
        <f t="shared" si="6"/>
        <v>0</v>
      </c>
      <c r="Q57" s="32">
        <v>100.0</v>
      </c>
    </row>
    <row r="58" ht="16.5" customHeight="1">
      <c r="A58" s="18">
        <v>51.0</v>
      </c>
      <c r="B58" s="128">
        <v>1.11625201113E11</v>
      </c>
      <c r="C58" s="129" t="s">
        <v>176</v>
      </c>
      <c r="D58" s="130" t="s">
        <v>27</v>
      </c>
      <c r="E58" s="130" t="s">
        <v>30</v>
      </c>
      <c r="F58" s="130" t="s">
        <v>32</v>
      </c>
      <c r="G58" s="22"/>
      <c r="H58" s="131">
        <v>38.0</v>
      </c>
      <c r="I58" s="131">
        <v>73.0</v>
      </c>
      <c r="J58" s="19">
        <v>50.0</v>
      </c>
      <c r="K58" s="132">
        <v>90.0</v>
      </c>
      <c r="L58" s="131">
        <v>83.0</v>
      </c>
      <c r="M58" s="28">
        <f t="shared" si="1"/>
        <v>66.8</v>
      </c>
      <c r="N58" s="29">
        <f t="shared" si="2"/>
        <v>1</v>
      </c>
      <c r="O58" s="30" t="str">
        <f t="shared" si="5"/>
        <v>1</v>
      </c>
      <c r="P58" s="31">
        <f t="shared" si="6"/>
        <v>0</v>
      </c>
      <c r="Q58" s="32">
        <v>100.0</v>
      </c>
    </row>
    <row r="59" ht="16.5" customHeight="1">
      <c r="A59" s="18">
        <v>52.0</v>
      </c>
      <c r="B59" s="128">
        <v>1.11625201114E11</v>
      </c>
      <c r="C59" s="129" t="s">
        <v>177</v>
      </c>
      <c r="D59" s="130" t="s">
        <v>27</v>
      </c>
      <c r="E59" s="130" t="s">
        <v>24</v>
      </c>
      <c r="F59" s="130" t="s">
        <v>32</v>
      </c>
      <c r="G59" s="22"/>
      <c r="H59" s="131">
        <v>53.0</v>
      </c>
      <c r="I59" s="131">
        <v>83.0</v>
      </c>
      <c r="J59" s="19">
        <v>70.0</v>
      </c>
      <c r="K59" s="132">
        <v>60.0</v>
      </c>
      <c r="L59" s="131">
        <v>83.0</v>
      </c>
      <c r="M59" s="28">
        <f t="shared" si="1"/>
        <v>69.8</v>
      </c>
      <c r="N59" s="29">
        <f t="shared" si="2"/>
        <v>0</v>
      </c>
      <c r="O59" s="30" t="str">
        <f t="shared" si="5"/>
        <v>0</v>
      </c>
      <c r="P59" s="31">
        <f t="shared" si="6"/>
        <v>0</v>
      </c>
      <c r="Q59" s="32">
        <v>100.0</v>
      </c>
    </row>
    <row r="60" ht="16.5" customHeight="1">
      <c r="A60" s="18">
        <v>53.0</v>
      </c>
      <c r="B60" s="128">
        <v>1.11625201115E11</v>
      </c>
      <c r="C60" s="129" t="s">
        <v>178</v>
      </c>
      <c r="D60" s="130" t="s">
        <v>23</v>
      </c>
      <c r="E60" s="130" t="s">
        <v>24</v>
      </c>
      <c r="F60" s="130" t="s">
        <v>23</v>
      </c>
      <c r="G60" s="22"/>
      <c r="H60" s="131">
        <v>95.0</v>
      </c>
      <c r="I60" s="131">
        <v>90.0</v>
      </c>
      <c r="J60" s="19">
        <v>90.0</v>
      </c>
      <c r="K60" s="132">
        <v>80.0</v>
      </c>
      <c r="L60" s="131">
        <v>53.0</v>
      </c>
      <c r="M60" s="28">
        <f t="shared" si="1"/>
        <v>81.6</v>
      </c>
      <c r="N60" s="29">
        <f t="shared" si="2"/>
        <v>0</v>
      </c>
      <c r="O60" s="30" t="str">
        <f t="shared" si="5"/>
        <v>0</v>
      </c>
      <c r="P60" s="31">
        <f t="shared" si="6"/>
        <v>0</v>
      </c>
      <c r="Q60" s="32">
        <v>100.0</v>
      </c>
    </row>
    <row r="61" ht="16.5" customHeight="1">
      <c r="A61" s="18">
        <v>54.0</v>
      </c>
      <c r="B61" s="128">
        <v>1.11625201116E11</v>
      </c>
      <c r="C61" s="129" t="s">
        <v>179</v>
      </c>
      <c r="D61" s="130" t="s">
        <v>27</v>
      </c>
      <c r="E61" s="130" t="s">
        <v>30</v>
      </c>
      <c r="F61" s="130" t="s">
        <v>32</v>
      </c>
      <c r="G61" s="22"/>
      <c r="H61" s="131">
        <v>88.0</v>
      </c>
      <c r="I61" s="131">
        <v>90.0</v>
      </c>
      <c r="J61" s="19">
        <v>100.0</v>
      </c>
      <c r="K61" s="134">
        <v>90.0</v>
      </c>
      <c r="L61" s="131">
        <v>80.0</v>
      </c>
      <c r="M61" s="28">
        <f t="shared" si="1"/>
        <v>89.6</v>
      </c>
      <c r="N61" s="29">
        <f t="shared" si="2"/>
        <v>0</v>
      </c>
      <c r="O61" s="30" t="str">
        <f t="shared" si="5"/>
        <v>0</v>
      </c>
      <c r="P61" s="31">
        <f t="shared" si="6"/>
        <v>0</v>
      </c>
      <c r="Q61" s="32">
        <v>100.0</v>
      </c>
    </row>
    <row r="62" ht="16.5" customHeight="1">
      <c r="A62" s="18">
        <v>55.0</v>
      </c>
      <c r="B62" s="128">
        <v>1.11625201117E11</v>
      </c>
      <c r="C62" s="129" t="s">
        <v>180</v>
      </c>
      <c r="D62" s="130" t="s">
        <v>27</v>
      </c>
      <c r="E62" s="130" t="s">
        <v>24</v>
      </c>
      <c r="F62" s="130" t="s">
        <v>23</v>
      </c>
      <c r="G62" s="22"/>
      <c r="H62" s="131">
        <v>50.0</v>
      </c>
      <c r="I62" s="131">
        <v>73.0</v>
      </c>
      <c r="J62" s="19">
        <v>93.0</v>
      </c>
      <c r="K62" s="132">
        <v>90.0</v>
      </c>
      <c r="L62" s="131">
        <v>67.0</v>
      </c>
      <c r="M62" s="28">
        <f t="shared" si="1"/>
        <v>74.6</v>
      </c>
      <c r="N62" s="29">
        <f t="shared" si="2"/>
        <v>0</v>
      </c>
      <c r="O62" s="30" t="str">
        <f t="shared" si="5"/>
        <v>0</v>
      </c>
      <c r="P62" s="31">
        <f t="shared" si="6"/>
        <v>0</v>
      </c>
      <c r="Q62" s="32">
        <v>100.0</v>
      </c>
    </row>
    <row r="63" ht="16.5" customHeight="1">
      <c r="A63" s="18">
        <v>56.0</v>
      </c>
      <c r="B63" s="128">
        <v>1.11625201118E11</v>
      </c>
      <c r="C63" s="129" t="s">
        <v>181</v>
      </c>
      <c r="D63" s="130" t="s">
        <v>27</v>
      </c>
      <c r="E63" s="130" t="s">
        <v>30</v>
      </c>
      <c r="F63" s="130" t="s">
        <v>32</v>
      </c>
      <c r="G63" s="22"/>
      <c r="H63" s="131">
        <v>63.0</v>
      </c>
      <c r="I63" s="131">
        <v>73.0</v>
      </c>
      <c r="J63" s="19" t="s">
        <v>25</v>
      </c>
      <c r="K63" s="132">
        <v>90.0</v>
      </c>
      <c r="L63" s="131">
        <v>97.0</v>
      </c>
      <c r="M63" s="28">
        <f t="shared" si="1"/>
        <v>64.6</v>
      </c>
      <c r="N63" s="29">
        <f t="shared" si="2"/>
        <v>1</v>
      </c>
      <c r="O63" s="30" t="str">
        <f t="shared" si="5"/>
        <v>1</v>
      </c>
      <c r="P63" s="31">
        <f t="shared" si="6"/>
        <v>1</v>
      </c>
      <c r="Q63" s="32">
        <v>91.0</v>
      </c>
    </row>
    <row r="64" ht="16.5" customHeight="1">
      <c r="A64" s="18">
        <v>57.0</v>
      </c>
      <c r="B64" s="128">
        <v>1.11625201119E11</v>
      </c>
      <c r="C64" s="129" t="s">
        <v>182</v>
      </c>
      <c r="D64" s="130" t="s">
        <v>27</v>
      </c>
      <c r="E64" s="130" t="s">
        <v>24</v>
      </c>
      <c r="F64" s="130" t="s">
        <v>23</v>
      </c>
      <c r="G64" s="22"/>
      <c r="H64" s="131">
        <v>50.0</v>
      </c>
      <c r="I64" s="131">
        <v>67.0</v>
      </c>
      <c r="J64" s="19">
        <v>50.0</v>
      </c>
      <c r="K64" s="132">
        <v>66.66666666666666</v>
      </c>
      <c r="L64" s="131">
        <v>50.0</v>
      </c>
      <c r="M64" s="28">
        <f t="shared" si="1"/>
        <v>56.73333333</v>
      </c>
      <c r="N64" s="29">
        <f t="shared" si="2"/>
        <v>0</v>
      </c>
      <c r="O64" s="30" t="str">
        <f t="shared" si="5"/>
        <v>0</v>
      </c>
      <c r="P64" s="31">
        <f t="shared" si="6"/>
        <v>0</v>
      </c>
      <c r="Q64" s="32">
        <v>100.0</v>
      </c>
    </row>
    <row r="65" ht="16.5" customHeight="1">
      <c r="A65" s="18">
        <v>58.0</v>
      </c>
      <c r="B65" s="128">
        <v>1.1162520112E11</v>
      </c>
      <c r="C65" s="129" t="s">
        <v>183</v>
      </c>
      <c r="D65" s="130" t="s">
        <v>23</v>
      </c>
      <c r="E65" s="130" t="s">
        <v>24</v>
      </c>
      <c r="F65" s="130" t="s">
        <v>32</v>
      </c>
      <c r="G65" s="22"/>
      <c r="H65" s="131">
        <v>63.0</v>
      </c>
      <c r="I65" s="131">
        <v>73.0</v>
      </c>
      <c r="J65" s="19">
        <v>83.0</v>
      </c>
      <c r="K65" s="132">
        <v>23.333333333333332</v>
      </c>
      <c r="L65" s="131">
        <v>70.0</v>
      </c>
      <c r="M65" s="28">
        <f t="shared" si="1"/>
        <v>62.46666667</v>
      </c>
      <c r="N65" s="29">
        <f t="shared" si="2"/>
        <v>1</v>
      </c>
      <c r="O65" s="30" t="str">
        <f t="shared" si="5"/>
        <v>1</v>
      </c>
      <c r="P65" s="31">
        <f t="shared" si="6"/>
        <v>0</v>
      </c>
      <c r="Q65" s="32">
        <v>100.0</v>
      </c>
    </row>
    <row r="66" ht="16.5" customHeight="1">
      <c r="A66" s="18">
        <v>59.0</v>
      </c>
      <c r="B66" s="128">
        <v>1.11625201121E11</v>
      </c>
      <c r="C66" s="129" t="s">
        <v>184</v>
      </c>
      <c r="D66" s="130" t="s">
        <v>27</v>
      </c>
      <c r="E66" s="130" t="s">
        <v>30</v>
      </c>
      <c r="F66" s="130" t="s">
        <v>32</v>
      </c>
      <c r="G66" s="22"/>
      <c r="H66" s="131">
        <v>67.0</v>
      </c>
      <c r="I66" s="131">
        <v>87.0</v>
      </c>
      <c r="J66" s="19">
        <v>90.0</v>
      </c>
      <c r="K66" s="132">
        <v>50.0</v>
      </c>
      <c r="L66" s="131">
        <v>50.0</v>
      </c>
      <c r="M66" s="28">
        <f t="shared" si="1"/>
        <v>68.8</v>
      </c>
      <c r="N66" s="29">
        <f t="shared" si="2"/>
        <v>0</v>
      </c>
      <c r="O66" s="30" t="str">
        <f t="shared" si="5"/>
        <v>0</v>
      </c>
      <c r="P66" s="31">
        <f t="shared" si="6"/>
        <v>0</v>
      </c>
      <c r="Q66" s="32">
        <v>100.0</v>
      </c>
    </row>
    <row r="67" ht="16.5" customHeight="1">
      <c r="A67" s="18">
        <v>60.0</v>
      </c>
      <c r="B67" s="128">
        <v>1.11625201122E11</v>
      </c>
      <c r="C67" s="129" t="s">
        <v>185</v>
      </c>
      <c r="D67" s="130" t="s">
        <v>23</v>
      </c>
      <c r="E67" s="130" t="s">
        <v>30</v>
      </c>
      <c r="F67" s="130" t="s">
        <v>32</v>
      </c>
      <c r="G67" s="22"/>
      <c r="H67" s="131" t="s">
        <v>25</v>
      </c>
      <c r="I67" s="131" t="s">
        <v>25</v>
      </c>
      <c r="J67" s="27" t="s">
        <v>25</v>
      </c>
      <c r="K67" s="135" t="s">
        <v>25</v>
      </c>
      <c r="L67" s="131" t="s">
        <v>25</v>
      </c>
      <c r="M67" s="28">
        <f t="shared" si="1"/>
        <v>0</v>
      </c>
      <c r="N67" s="29">
        <f t="shared" si="2"/>
        <v>5</v>
      </c>
      <c r="O67" s="30" t="str">
        <f t="shared" si="5"/>
        <v>1</v>
      </c>
      <c r="P67" s="31">
        <f t="shared" si="6"/>
        <v>5</v>
      </c>
      <c r="Q67" s="32">
        <v>9.0</v>
      </c>
    </row>
    <row r="68" ht="16.5" customHeight="1">
      <c r="A68" s="18">
        <v>61.0</v>
      </c>
      <c r="B68" s="128">
        <v>1.11625201123E11</v>
      </c>
      <c r="C68" s="129" t="s">
        <v>186</v>
      </c>
      <c r="D68" s="130" t="s">
        <v>23</v>
      </c>
      <c r="E68" s="130" t="s">
        <v>24</v>
      </c>
      <c r="F68" s="130" t="s">
        <v>23</v>
      </c>
      <c r="G68" s="22"/>
      <c r="H68" s="131">
        <v>18.0</v>
      </c>
      <c r="I68" s="131">
        <v>60.0</v>
      </c>
      <c r="J68" s="19">
        <v>50.0</v>
      </c>
      <c r="K68" s="132">
        <v>56.666666666666664</v>
      </c>
      <c r="L68" s="131">
        <v>70.0</v>
      </c>
      <c r="M68" s="28">
        <f t="shared" si="1"/>
        <v>50.93333333</v>
      </c>
      <c r="N68" s="29">
        <f t="shared" si="2"/>
        <v>1</v>
      </c>
      <c r="O68" s="30" t="str">
        <f t="shared" si="5"/>
        <v>1</v>
      </c>
      <c r="P68" s="31">
        <f t="shared" si="6"/>
        <v>0</v>
      </c>
      <c r="Q68" s="32">
        <v>100.0</v>
      </c>
    </row>
    <row r="69" ht="16.5" customHeight="1">
      <c r="A69" s="18">
        <v>62.0</v>
      </c>
      <c r="B69" s="128">
        <v>1.11625201124E11</v>
      </c>
      <c r="C69" s="129" t="s">
        <v>187</v>
      </c>
      <c r="D69" s="130" t="s">
        <v>23</v>
      </c>
      <c r="E69" s="130" t="s">
        <v>30</v>
      </c>
      <c r="F69" s="130" t="s">
        <v>23</v>
      </c>
      <c r="G69" s="22"/>
      <c r="H69" s="131">
        <v>52.0</v>
      </c>
      <c r="I69" s="131">
        <v>63.0</v>
      </c>
      <c r="J69" s="19">
        <v>27.0</v>
      </c>
      <c r="K69" s="132">
        <v>20.0</v>
      </c>
      <c r="L69" s="131">
        <v>57.0</v>
      </c>
      <c r="M69" s="28">
        <f t="shared" si="1"/>
        <v>43.8</v>
      </c>
      <c r="N69" s="29">
        <f t="shared" si="2"/>
        <v>2</v>
      </c>
      <c r="O69" s="30" t="str">
        <f t="shared" si="5"/>
        <v>1</v>
      </c>
      <c r="P69" s="31">
        <f t="shared" si="6"/>
        <v>0</v>
      </c>
      <c r="Q69" s="32">
        <v>98.0</v>
      </c>
    </row>
    <row r="70">
      <c r="A70" s="30"/>
      <c r="B70" s="136"/>
      <c r="C70" s="137"/>
      <c r="D70" s="42"/>
      <c r="E70" s="42"/>
      <c r="F70" s="42"/>
      <c r="G70" s="43"/>
      <c r="H70" s="43"/>
      <c r="I70" s="43"/>
      <c r="J70" s="42"/>
      <c r="K70" s="42"/>
      <c r="L70" s="41"/>
      <c r="M70" s="30"/>
      <c r="N70" s="45"/>
      <c r="O70" s="2"/>
      <c r="P70" s="2"/>
      <c r="Q70" s="2"/>
    </row>
    <row r="71">
      <c r="A71" s="30"/>
      <c r="B71" s="46"/>
      <c r="C71" s="47" t="s">
        <v>89</v>
      </c>
      <c r="D71" s="9"/>
      <c r="E71" s="9"/>
      <c r="F71" s="48"/>
      <c r="G71" s="49"/>
      <c r="H71" s="50">
        <f>COUNT(A8:A69)</f>
        <v>62</v>
      </c>
      <c r="I71" s="50">
        <f>COUNT(A8:A69)</f>
        <v>62</v>
      </c>
      <c r="J71" s="50">
        <f>COUNT(A8:A69)</f>
        <v>62</v>
      </c>
      <c r="K71" s="50">
        <f>COUNT(A8:A69)</f>
        <v>62</v>
      </c>
      <c r="L71" s="50">
        <f>COUNT(A8:A69)</f>
        <v>62</v>
      </c>
      <c r="M71" s="51"/>
      <c r="N71" s="45"/>
      <c r="O71" s="2"/>
      <c r="P71" s="2"/>
      <c r="Q71" s="2"/>
    </row>
    <row r="72">
      <c r="A72" s="30"/>
      <c r="B72" s="46"/>
      <c r="C72" s="52" t="s">
        <v>90</v>
      </c>
      <c r="D72" s="9"/>
      <c r="E72" s="9"/>
      <c r="F72" s="48"/>
      <c r="G72" s="53"/>
      <c r="H72" s="54">
        <f t="shared" ref="H72:L72" si="7">H71-H73</f>
        <v>59</v>
      </c>
      <c r="I72" s="54">
        <f t="shared" si="7"/>
        <v>61</v>
      </c>
      <c r="J72" s="54">
        <f t="shared" si="7"/>
        <v>58</v>
      </c>
      <c r="K72" s="54">
        <f t="shared" si="7"/>
        <v>60</v>
      </c>
      <c r="L72" s="54">
        <f t="shared" si="7"/>
        <v>60</v>
      </c>
      <c r="M72" s="51"/>
      <c r="N72" s="45"/>
      <c r="O72" s="2"/>
      <c r="P72" s="2"/>
      <c r="Q72" s="2"/>
    </row>
    <row r="73">
      <c r="A73" s="30"/>
      <c r="B73" s="46"/>
      <c r="C73" s="55" t="s">
        <v>91</v>
      </c>
      <c r="D73" s="9"/>
      <c r="E73" s="9"/>
      <c r="F73" s="48"/>
      <c r="G73" s="56"/>
      <c r="H73" s="57">
        <f t="shared" ref="H73:L73" si="8">(COUNTIF((H8:H69),"=A"))</f>
        <v>3</v>
      </c>
      <c r="I73" s="57">
        <f t="shared" si="8"/>
        <v>1</v>
      </c>
      <c r="J73" s="57">
        <f t="shared" si="8"/>
        <v>4</v>
      </c>
      <c r="K73" s="57">
        <f t="shared" si="8"/>
        <v>2</v>
      </c>
      <c r="L73" s="57">
        <f t="shared" si="8"/>
        <v>2</v>
      </c>
      <c r="M73" s="51"/>
      <c r="N73" s="45"/>
      <c r="O73" s="2"/>
      <c r="P73" s="2"/>
      <c r="Q73" s="2"/>
    </row>
    <row r="74">
      <c r="A74" s="30"/>
      <c r="B74" s="46"/>
      <c r="C74" s="58" t="s">
        <v>92</v>
      </c>
      <c r="D74" s="9"/>
      <c r="E74" s="9"/>
      <c r="F74" s="48"/>
      <c r="G74" s="59"/>
      <c r="H74" s="60">
        <f t="shared" ref="H74:L74" si="9">H71-(H75+H73)</f>
        <v>52</v>
      </c>
      <c r="I74" s="60">
        <f t="shared" si="9"/>
        <v>56</v>
      </c>
      <c r="J74" s="60">
        <f t="shared" si="9"/>
        <v>42</v>
      </c>
      <c r="K74" s="60">
        <f t="shared" si="9"/>
        <v>45</v>
      </c>
      <c r="L74" s="60">
        <f t="shared" si="9"/>
        <v>51</v>
      </c>
      <c r="M74" s="51"/>
      <c r="N74" s="45"/>
      <c r="O74" s="2"/>
      <c r="P74" s="2"/>
      <c r="Q74" s="2"/>
    </row>
    <row r="75">
      <c r="A75" s="30"/>
      <c r="B75" s="61"/>
      <c r="C75" s="62" t="s">
        <v>93</v>
      </c>
      <c r="D75" s="9"/>
      <c r="E75" s="9"/>
      <c r="F75" s="48"/>
      <c r="G75" s="63"/>
      <c r="H75" s="64">
        <f>(COUNTIF((H8:H69),"&lt;50"))</f>
        <v>7</v>
      </c>
      <c r="I75" s="64">
        <f t="shared" ref="I75:L75" si="10">COUNTIF((I8:I69),"&lt;50")</f>
        <v>5</v>
      </c>
      <c r="J75" s="64">
        <f t="shared" si="10"/>
        <v>16</v>
      </c>
      <c r="K75" s="64">
        <f t="shared" si="10"/>
        <v>15</v>
      </c>
      <c r="L75" s="64">
        <f t="shared" si="10"/>
        <v>9</v>
      </c>
      <c r="M75" s="51"/>
      <c r="N75" s="45"/>
      <c r="O75" s="2"/>
      <c r="P75" s="2"/>
      <c r="Q75" s="2"/>
    </row>
    <row r="76">
      <c r="A76" s="30"/>
      <c r="B76" s="61"/>
      <c r="C76" s="65" t="s">
        <v>94</v>
      </c>
      <c r="D76" s="9"/>
      <c r="E76" s="9"/>
      <c r="F76" s="48"/>
      <c r="G76" s="66"/>
      <c r="H76" s="138">
        <f t="shared" ref="H76:L76" si="11">(H74/H72)*100</f>
        <v>88.13559322</v>
      </c>
      <c r="I76" s="138">
        <f t="shared" si="11"/>
        <v>91.80327869</v>
      </c>
      <c r="J76" s="138">
        <f t="shared" si="11"/>
        <v>72.4137931</v>
      </c>
      <c r="K76" s="138">
        <f t="shared" si="11"/>
        <v>75</v>
      </c>
      <c r="L76" s="138">
        <f t="shared" si="11"/>
        <v>85</v>
      </c>
      <c r="M76" s="68"/>
      <c r="N76" s="45"/>
      <c r="O76" s="2"/>
      <c r="P76" s="2"/>
      <c r="Q76" s="2"/>
    </row>
    <row r="77">
      <c r="A77" s="30"/>
      <c r="B77" s="61"/>
      <c r="C77" s="69" t="s">
        <v>95</v>
      </c>
      <c r="D77" s="9"/>
      <c r="E77" s="9"/>
      <c r="F77" s="48"/>
      <c r="G77" s="70"/>
      <c r="H77" s="71">
        <f>COUNTIFS(N8:N69,"=1", H8:H69,"&lt;50")+COUNTIFS(N8:N69,"=1", H8:H69,"=A")</f>
        <v>2</v>
      </c>
      <c r="I77" s="71">
        <f>COUNTIFS(N8:N69,"=1", I8:I69,"&lt;50")+COUNTIFS(N8:N69,"=1", I8:I69,"=A")</f>
        <v>0</v>
      </c>
      <c r="J77" s="71">
        <f>COUNTIFS(N8:N69,"=1", J8:J69,"&lt;50")+COUNTIFS(N8:N69,"=1", J8:J69,"=A")</f>
        <v>6</v>
      </c>
      <c r="K77" s="71">
        <f>COUNTIFS(N8:N69,"=1", K8:K69,"&lt;50")+COUNTIFS(N8:N69,"=1", K8:K69,"=A")</f>
        <v>4</v>
      </c>
      <c r="L77" s="71">
        <f>COUNTIFS(N8:N69,"=1", L8:L69,"&lt;50")+COUNTIFS(N8:N69,"=1", L8:L69,"=A")</f>
        <v>3</v>
      </c>
      <c r="M77" s="51"/>
      <c r="N77" s="45"/>
      <c r="O77" s="2"/>
      <c r="P77" s="2"/>
      <c r="Q77" s="2"/>
    </row>
    <row r="78" ht="8.25" customHeight="1">
      <c r="A78" s="30"/>
      <c r="B78" s="2"/>
      <c r="C78" s="72"/>
      <c r="D78" s="42"/>
      <c r="E78" s="42"/>
      <c r="F78" s="42"/>
      <c r="G78" s="30"/>
      <c r="H78" s="139"/>
      <c r="I78" s="30"/>
      <c r="J78" s="74"/>
      <c r="K78" s="74"/>
      <c r="L78" s="2"/>
      <c r="M78" s="30"/>
      <c r="N78" s="45"/>
      <c r="O78" s="2"/>
      <c r="P78" s="2"/>
      <c r="Q78" s="2"/>
    </row>
    <row r="79">
      <c r="A79" s="30"/>
      <c r="B79" s="61"/>
      <c r="C79" s="75" t="s">
        <v>96</v>
      </c>
      <c r="D79" s="9"/>
      <c r="E79" s="9"/>
      <c r="F79" s="48"/>
      <c r="G79" s="76"/>
      <c r="H79" s="77">
        <f>COUNTIF((N8:N69),"=0")</f>
        <v>30</v>
      </c>
      <c r="I79" s="68"/>
      <c r="J79" s="74"/>
      <c r="K79" s="74"/>
      <c r="L79" s="2"/>
      <c r="M79" s="30"/>
      <c r="N79" s="45"/>
      <c r="O79" s="2"/>
      <c r="P79" s="2"/>
      <c r="Q79" s="2"/>
    </row>
    <row r="80">
      <c r="A80" s="30"/>
      <c r="B80" s="61"/>
      <c r="C80" s="75" t="s">
        <v>97</v>
      </c>
      <c r="D80" s="9"/>
      <c r="E80" s="9"/>
      <c r="F80" s="48"/>
      <c r="G80" s="76"/>
      <c r="H80" s="77">
        <f>(COUNTIF((N8:N69),"&gt;0"))</f>
        <v>32</v>
      </c>
      <c r="I80" s="2"/>
      <c r="J80" s="74"/>
      <c r="K80" s="74"/>
      <c r="L80" s="2"/>
      <c r="M80" s="30"/>
      <c r="N80" s="45"/>
      <c r="O80" s="2"/>
      <c r="P80" s="2"/>
      <c r="Q80" s="2"/>
    </row>
    <row r="81">
      <c r="A81" s="30"/>
      <c r="B81" s="61"/>
      <c r="C81" s="75" t="s">
        <v>98</v>
      </c>
      <c r="D81" s="9"/>
      <c r="E81" s="9"/>
      <c r="F81" s="48"/>
      <c r="G81" s="76"/>
      <c r="H81" s="77">
        <f>(COUNTIF((P8:P69),"=5"))</f>
        <v>1</v>
      </c>
      <c r="I81" s="2"/>
      <c r="J81" s="74"/>
      <c r="K81" s="74"/>
      <c r="L81" s="2"/>
      <c r="M81" s="30"/>
      <c r="N81" s="45"/>
      <c r="O81" s="2"/>
      <c r="P81" s="2"/>
      <c r="Q81" s="2"/>
    </row>
    <row r="82">
      <c r="A82" s="30"/>
      <c r="B82" s="61"/>
      <c r="C82" s="75" t="s">
        <v>99</v>
      </c>
      <c r="D82" s="9"/>
      <c r="E82" s="9"/>
      <c r="F82" s="48"/>
      <c r="G82" s="78"/>
      <c r="H82" s="77">
        <f>COUNT(A8:A69)-H81</f>
        <v>61</v>
      </c>
      <c r="I82" s="2"/>
      <c r="J82" s="74"/>
      <c r="K82" s="74"/>
      <c r="L82" s="2"/>
      <c r="M82" s="30"/>
      <c r="N82" s="45"/>
      <c r="O82" s="2"/>
      <c r="P82" s="2"/>
      <c r="Q82" s="2"/>
    </row>
    <row r="83">
      <c r="A83" s="30"/>
      <c r="B83" s="61"/>
      <c r="C83" s="75" t="s">
        <v>100</v>
      </c>
      <c r="D83" s="9"/>
      <c r="E83" s="9"/>
      <c r="F83" s="48"/>
      <c r="G83" s="78"/>
      <c r="H83" s="79">
        <f>(H79/H82)*100</f>
        <v>49.18032787</v>
      </c>
      <c r="I83" s="2"/>
      <c r="J83" s="74"/>
      <c r="K83" s="74"/>
      <c r="L83" s="2"/>
      <c r="M83" s="30"/>
      <c r="N83" s="45"/>
      <c r="O83" s="2"/>
      <c r="P83" s="2"/>
      <c r="Q83" s="2"/>
    </row>
    <row r="84">
      <c r="A84" s="30"/>
      <c r="B84" s="61"/>
      <c r="C84" s="75" t="s">
        <v>101</v>
      </c>
      <c r="D84" s="9"/>
      <c r="E84" s="9"/>
      <c r="F84" s="48"/>
      <c r="G84" s="78"/>
      <c r="H84" s="80">
        <f>max(M8:M69)</f>
        <v>90</v>
      </c>
      <c r="I84" s="30"/>
      <c r="J84" s="74"/>
      <c r="K84" s="74"/>
      <c r="L84" s="2"/>
      <c r="M84" s="30"/>
      <c r="N84" s="45"/>
      <c r="O84" s="2"/>
      <c r="P84" s="2"/>
      <c r="Q84" s="2"/>
    </row>
    <row r="85" ht="2.25" customHeight="1">
      <c r="A85" s="30"/>
      <c r="B85" s="2"/>
      <c r="C85" s="2"/>
      <c r="D85" s="74"/>
      <c r="E85" s="74"/>
      <c r="F85" s="74"/>
      <c r="G85" s="30"/>
      <c r="H85" s="30"/>
      <c r="I85" s="30"/>
      <c r="J85" s="74"/>
      <c r="K85" s="74"/>
      <c r="L85" s="2"/>
      <c r="M85" s="30"/>
      <c r="N85" s="45"/>
      <c r="O85" s="2"/>
      <c r="P85" s="2"/>
      <c r="Q85" s="2"/>
    </row>
    <row r="86" ht="3.0" customHeight="1">
      <c r="A86" s="30"/>
      <c r="B86" s="41"/>
      <c r="C86" s="41"/>
      <c r="D86" s="83"/>
      <c r="E86" s="83"/>
      <c r="F86" s="83"/>
      <c r="G86" s="2"/>
      <c r="H86" s="41"/>
      <c r="I86" s="41"/>
      <c r="J86" s="83"/>
      <c r="K86" s="83"/>
      <c r="L86" s="2"/>
      <c r="M86" s="2"/>
      <c r="N86" s="81"/>
      <c r="O86" s="82"/>
      <c r="P86" s="2"/>
      <c r="Q86" s="2"/>
    </row>
    <row r="87" hidden="1">
      <c r="A87" s="85"/>
      <c r="B87" s="86" t="s">
        <v>102</v>
      </c>
      <c r="C87" s="87" t="s">
        <v>103</v>
      </c>
      <c r="D87" s="88"/>
      <c r="E87" s="88"/>
      <c r="F87" s="88"/>
      <c r="G87" s="89"/>
      <c r="H87" s="140">
        <f>COUNTIFS(N8:N69,"&gt;0", E8:E69,"=H")</f>
        <v>17</v>
      </c>
      <c r="I87" s="91">
        <f>(H74-H87)/H74*100</f>
        <v>67.30769231</v>
      </c>
      <c r="J87" s="74"/>
      <c r="K87" s="74"/>
      <c r="L87" s="2"/>
      <c r="M87" s="30"/>
      <c r="N87" s="81"/>
      <c r="O87" s="82"/>
      <c r="P87" s="2"/>
      <c r="Q87" s="2"/>
    </row>
    <row r="88" hidden="1">
      <c r="A88" s="85"/>
      <c r="B88" s="48"/>
      <c r="C88" s="87" t="s">
        <v>104</v>
      </c>
      <c r="D88" s="88"/>
      <c r="E88" s="88"/>
      <c r="F88" s="88"/>
      <c r="G88" s="89"/>
      <c r="H88" s="141">
        <f>COUNTIFS(N8:N69,"&gt;0", E8:E69,"=D")</f>
        <v>15</v>
      </c>
      <c r="I88" s="91">
        <f>(H74-H88)/H74*100</f>
        <v>71.15384615</v>
      </c>
      <c r="J88" s="74"/>
      <c r="K88" s="74"/>
      <c r="L88" s="2"/>
      <c r="M88" s="30"/>
      <c r="N88" s="81"/>
      <c r="O88" s="82"/>
      <c r="P88" s="2"/>
      <c r="Q88" s="2"/>
    </row>
    <row r="89" hidden="1">
      <c r="A89" s="85"/>
      <c r="B89" s="93" t="s">
        <v>105</v>
      </c>
      <c r="C89" s="94" t="s">
        <v>106</v>
      </c>
      <c r="D89" s="95"/>
      <c r="E89" s="95"/>
      <c r="F89" s="95"/>
      <c r="G89" s="96"/>
      <c r="H89" s="142">
        <f>COUNTIFS(N8:N69,"&gt;0", D8:D69,"=G")</f>
        <v>9</v>
      </c>
      <c r="I89" s="98">
        <f>(H74-H89)/H74*100</f>
        <v>82.69230769</v>
      </c>
      <c r="J89" s="74"/>
      <c r="K89" s="74"/>
      <c r="L89" s="2"/>
      <c r="M89" s="30"/>
      <c r="N89" s="81"/>
      <c r="O89" s="82"/>
      <c r="P89" s="2"/>
      <c r="Q89" s="2"/>
    </row>
    <row r="90" hidden="1">
      <c r="A90" s="85"/>
      <c r="B90" s="48"/>
      <c r="C90" s="94" t="s">
        <v>107</v>
      </c>
      <c r="D90" s="95"/>
      <c r="E90" s="95"/>
      <c r="F90" s="95"/>
      <c r="G90" s="96"/>
      <c r="H90" s="143">
        <f>COUNTIFS(N8:N69,"&gt;0", D8:D69,"=M")</f>
        <v>23</v>
      </c>
      <c r="I90" s="98">
        <f>(H74-H90)/H74*100</f>
        <v>55.76923077</v>
      </c>
      <c r="J90" s="74"/>
      <c r="K90" s="74"/>
      <c r="L90" s="2"/>
      <c r="M90" s="30"/>
      <c r="N90" s="81"/>
      <c r="O90" s="82"/>
      <c r="P90" s="2"/>
      <c r="Q90" s="2"/>
    </row>
    <row r="91" hidden="1">
      <c r="A91" s="85"/>
      <c r="B91" s="100" t="s">
        <v>108</v>
      </c>
      <c r="C91" s="101" t="s">
        <v>109</v>
      </c>
      <c r="D91" s="102"/>
      <c r="E91" s="102"/>
      <c r="F91" s="102"/>
      <c r="G91" s="103"/>
      <c r="H91" s="104" t="str">
        <f>COUNTIFS(N8:N69,"&gt;0", #REF!,"=T")</f>
        <v>#VALUE!</v>
      </c>
      <c r="I91" s="105" t="str">
        <f>(H74-H91)/H74*100</f>
        <v>#VALUE!</v>
      </c>
      <c r="J91" s="74"/>
      <c r="K91" s="74"/>
      <c r="L91" s="2"/>
      <c r="M91" s="30"/>
      <c r="N91" s="81"/>
      <c r="O91" s="82"/>
      <c r="P91" s="2"/>
      <c r="Q91" s="2"/>
    </row>
    <row r="92" hidden="1">
      <c r="A92" s="85"/>
      <c r="B92" s="48"/>
      <c r="C92" s="101" t="s">
        <v>110</v>
      </c>
      <c r="D92" s="102"/>
      <c r="E92" s="102"/>
      <c r="F92" s="102"/>
      <c r="G92" s="103"/>
      <c r="H92" s="104" t="str">
        <f>COUNTIFS(N8:N69,"&gt;0", #REF!,"=E")</f>
        <v>#VALUE!</v>
      </c>
      <c r="I92" s="105" t="str">
        <f>(H74-H92)/H74*100</f>
        <v>#VALUE!</v>
      </c>
      <c r="J92" s="74"/>
      <c r="K92" s="74"/>
      <c r="L92" s="2"/>
      <c r="M92" s="30"/>
      <c r="N92" s="81"/>
      <c r="O92" s="82"/>
      <c r="P92" s="2"/>
      <c r="Q92" s="2"/>
    </row>
    <row r="93" hidden="1">
      <c r="A93" s="85"/>
      <c r="B93" s="106" t="s">
        <v>111</v>
      </c>
      <c r="C93" s="107" t="s">
        <v>112</v>
      </c>
      <c r="D93" s="108"/>
      <c r="E93" s="108"/>
      <c r="F93" s="108"/>
      <c r="G93" s="109"/>
      <c r="H93" s="144">
        <f>COUNTIFS(N8:N69,"&gt;0", F8:F69,"=G")</f>
        <v>0</v>
      </c>
      <c r="I93" s="111">
        <f>(H76-H93)/H76*100</f>
        <v>100</v>
      </c>
      <c r="J93" s="74"/>
      <c r="K93" s="74"/>
      <c r="L93" s="2"/>
      <c r="M93" s="30"/>
      <c r="N93" s="81"/>
      <c r="O93" s="82"/>
      <c r="P93" s="2"/>
      <c r="Q93" s="2"/>
    </row>
    <row r="94" hidden="1">
      <c r="A94" s="85"/>
      <c r="B94" s="48"/>
      <c r="C94" s="107" t="s">
        <v>113</v>
      </c>
      <c r="D94" s="108"/>
      <c r="E94" s="108"/>
      <c r="F94" s="108"/>
      <c r="G94" s="109"/>
      <c r="H94" s="144">
        <f>COUNTIFS(N8:N69,"&gt;0", F8:F69,"=B")</f>
        <v>0</v>
      </c>
      <c r="I94" s="111">
        <f>(H76-H94)/H76*100</f>
        <v>100</v>
      </c>
      <c r="J94" s="74"/>
      <c r="K94" s="74"/>
      <c r="L94" s="2"/>
      <c r="M94" s="30"/>
      <c r="N94" s="81"/>
      <c r="O94" s="82"/>
      <c r="P94" s="2"/>
      <c r="Q94" s="2"/>
    </row>
    <row r="95" ht="1.5" hidden="1" customHeight="1">
      <c r="A95" s="30"/>
      <c r="B95" s="2"/>
      <c r="C95" s="41"/>
      <c r="D95" s="42"/>
      <c r="E95" s="42"/>
      <c r="F95" s="42"/>
      <c r="G95" s="43"/>
      <c r="H95" s="41"/>
      <c r="I95" s="43"/>
      <c r="J95" s="42"/>
      <c r="K95" s="42"/>
      <c r="L95" s="41"/>
      <c r="M95" s="43"/>
      <c r="N95" s="81"/>
      <c r="O95" s="82"/>
      <c r="P95" s="2"/>
      <c r="Q95" s="2"/>
    </row>
    <row r="96">
      <c r="A96" s="30"/>
      <c r="B96" s="61"/>
      <c r="C96" s="112" t="s">
        <v>114</v>
      </c>
      <c r="D96" s="9"/>
      <c r="E96" s="9"/>
      <c r="F96" s="48"/>
      <c r="G96" s="113"/>
      <c r="H96" s="114" t="s">
        <v>115</v>
      </c>
      <c r="I96" s="114" t="s">
        <v>116</v>
      </c>
      <c r="J96" s="114" t="s">
        <v>117</v>
      </c>
      <c r="K96" s="114" t="s">
        <v>118</v>
      </c>
      <c r="L96" s="145" t="s">
        <v>119</v>
      </c>
      <c r="M96" s="116" t="s">
        <v>120</v>
      </c>
      <c r="N96" s="51"/>
      <c r="O96" s="51"/>
      <c r="P96" s="2"/>
      <c r="Q96" s="2"/>
    </row>
    <row r="97">
      <c r="A97" s="30"/>
      <c r="B97" s="61"/>
      <c r="C97" s="117" t="s">
        <v>121</v>
      </c>
      <c r="D97" s="9"/>
      <c r="E97" s="9"/>
      <c r="F97" s="48"/>
      <c r="G97" s="118"/>
      <c r="H97" s="119">
        <f>COUNTIF(F8:F69,"=F")</f>
        <v>33</v>
      </c>
      <c r="I97" s="119">
        <f>(COUNTIF((F8:F69),"=M"))</f>
        <v>29</v>
      </c>
      <c r="J97" s="119">
        <f>(COUNTIF((D8:D69),"=M"))</f>
        <v>32</v>
      </c>
      <c r="K97" s="119">
        <f>(COUNTIF((D8:D69),"=G"))</f>
        <v>30</v>
      </c>
      <c r="L97" s="119">
        <f>(COUNTIF((E8:E69),"=D"))</f>
        <v>30</v>
      </c>
      <c r="M97" s="120">
        <f>(COUNTIF((E8:E70),"=H"))</f>
        <v>32</v>
      </c>
      <c r="N97" s="51"/>
      <c r="O97" s="51"/>
      <c r="P97" s="2"/>
      <c r="Q97" s="2"/>
    </row>
    <row r="98">
      <c r="A98" s="30"/>
      <c r="B98" s="61"/>
      <c r="C98" s="117" t="s">
        <v>122</v>
      </c>
      <c r="D98" s="9"/>
      <c r="E98" s="9"/>
      <c r="F98" s="48"/>
      <c r="G98" s="118"/>
      <c r="H98" s="119">
        <f>COUNTIFS(N8:N69,"=0", F8:F69,"=F")</f>
        <v>20</v>
      </c>
      <c r="I98" s="119">
        <f>COUNTIFS(N8:N69,"=0", F8:F69,"=M")</f>
        <v>10</v>
      </c>
      <c r="J98" s="119">
        <f>COUNTIFS(N8:N69,"=0", D8:D69,"=M")</f>
        <v>9</v>
      </c>
      <c r="K98" s="119">
        <f>COUNTIFS(N8:N69,"=0", D8:D69,"=G")</f>
        <v>21</v>
      </c>
      <c r="L98" s="119">
        <f>COUNTIFS(N8:N69,"=0", E8:E69,"=D")</f>
        <v>15</v>
      </c>
      <c r="M98" s="120">
        <f>COUNTIFS(N8:N70,"=0", E8:E70,"=H")</f>
        <v>15</v>
      </c>
      <c r="N98" s="51"/>
      <c r="O98" s="51"/>
      <c r="P98" s="2"/>
      <c r="Q98" s="2"/>
    </row>
    <row r="99">
      <c r="A99" s="30"/>
      <c r="B99" s="61"/>
      <c r="C99" s="117" t="s">
        <v>123</v>
      </c>
      <c r="D99" s="9"/>
      <c r="E99" s="9"/>
      <c r="F99" s="48"/>
      <c r="G99" s="118"/>
      <c r="H99" s="119">
        <f t="shared" ref="H99:M99" si="12">H97-H98</f>
        <v>13</v>
      </c>
      <c r="I99" s="119">
        <f t="shared" si="12"/>
        <v>19</v>
      </c>
      <c r="J99" s="119">
        <f t="shared" si="12"/>
        <v>23</v>
      </c>
      <c r="K99" s="119">
        <f t="shared" si="12"/>
        <v>9</v>
      </c>
      <c r="L99" s="119">
        <f t="shared" si="12"/>
        <v>15</v>
      </c>
      <c r="M99" s="120">
        <f t="shared" si="12"/>
        <v>17</v>
      </c>
      <c r="N99" s="51"/>
      <c r="O99" s="51"/>
      <c r="P99" s="2"/>
      <c r="Q99" s="2"/>
    </row>
    <row r="100">
      <c r="A100" s="30"/>
      <c r="B100" s="61"/>
      <c r="C100" s="121" t="s">
        <v>124</v>
      </c>
      <c r="D100" s="9"/>
      <c r="E100" s="9"/>
      <c r="F100" s="48"/>
      <c r="G100" s="118"/>
      <c r="H100" s="122">
        <f t="shared" ref="H100:M100" si="13">(H98/H97)*100</f>
        <v>60.60606061</v>
      </c>
      <c r="I100" s="122">
        <f t="shared" si="13"/>
        <v>34.48275862</v>
      </c>
      <c r="J100" s="122">
        <f t="shared" si="13"/>
        <v>28.125</v>
      </c>
      <c r="K100" s="122">
        <f t="shared" si="13"/>
        <v>70</v>
      </c>
      <c r="L100" s="122">
        <f t="shared" si="13"/>
        <v>50</v>
      </c>
      <c r="M100" s="123">
        <f t="shared" si="13"/>
        <v>46.875</v>
      </c>
      <c r="N100" s="68"/>
      <c r="O100" s="68"/>
      <c r="P100" s="2"/>
      <c r="Q100" s="2"/>
    </row>
    <row r="101">
      <c r="D101" s="125"/>
      <c r="E101" s="125"/>
      <c r="F101" s="125"/>
      <c r="J101" s="125"/>
      <c r="K101" s="125"/>
    </row>
    <row r="102">
      <c r="D102" s="125"/>
      <c r="E102" s="125"/>
      <c r="F102" s="125"/>
      <c r="J102" s="125"/>
      <c r="K102" s="125"/>
    </row>
    <row r="103">
      <c r="D103" s="125"/>
      <c r="E103" s="125"/>
      <c r="F103" s="125"/>
      <c r="J103" s="125"/>
      <c r="K103" s="125"/>
    </row>
    <row r="104">
      <c r="D104" s="125"/>
      <c r="E104" s="125"/>
      <c r="F104" s="125"/>
      <c r="J104" s="125"/>
      <c r="K104" s="125"/>
    </row>
    <row r="105">
      <c r="D105" s="125"/>
      <c r="E105" s="125"/>
      <c r="F105" s="125"/>
      <c r="J105" s="125"/>
      <c r="K105" s="125"/>
    </row>
    <row r="106">
      <c r="D106" s="125"/>
      <c r="E106" s="125"/>
      <c r="F106" s="125"/>
      <c r="J106" s="125"/>
      <c r="K106" s="125"/>
    </row>
    <row r="107">
      <c r="D107" s="125"/>
      <c r="E107" s="125"/>
      <c r="F107" s="125"/>
      <c r="J107" s="125"/>
      <c r="K107" s="125"/>
    </row>
    <row r="108">
      <c r="D108" s="125"/>
      <c r="E108" s="125"/>
      <c r="F108" s="125"/>
      <c r="J108" s="125"/>
      <c r="K108" s="125"/>
    </row>
    <row r="109">
      <c r="D109" s="125"/>
      <c r="E109" s="125"/>
      <c r="F109" s="125"/>
      <c r="J109" s="125"/>
      <c r="K109" s="125"/>
    </row>
    <row r="110">
      <c r="D110" s="125"/>
      <c r="E110" s="125"/>
      <c r="F110" s="125"/>
      <c r="J110" s="125"/>
      <c r="K110" s="125"/>
    </row>
    <row r="111">
      <c r="D111" s="125"/>
      <c r="E111" s="125"/>
      <c r="F111" s="125"/>
      <c r="J111" s="125"/>
      <c r="K111" s="125"/>
    </row>
    <row r="112">
      <c r="D112" s="125"/>
      <c r="E112" s="125"/>
      <c r="F112" s="125"/>
      <c r="J112" s="125"/>
      <c r="K112" s="125"/>
    </row>
    <row r="113">
      <c r="D113" s="125"/>
      <c r="E113" s="125"/>
      <c r="F113" s="125"/>
      <c r="J113" s="125"/>
      <c r="K113" s="125"/>
    </row>
    <row r="114">
      <c r="D114" s="125"/>
      <c r="E114" s="125"/>
      <c r="F114" s="125"/>
      <c r="J114" s="125"/>
      <c r="K114" s="125"/>
    </row>
    <row r="115">
      <c r="D115" s="125"/>
      <c r="E115" s="125"/>
      <c r="F115" s="125"/>
      <c r="J115" s="125"/>
      <c r="K115" s="125"/>
    </row>
    <row r="116">
      <c r="D116" s="125"/>
      <c r="E116" s="125"/>
      <c r="F116" s="125"/>
      <c r="J116" s="125"/>
      <c r="K116" s="125"/>
    </row>
    <row r="117">
      <c r="D117" s="125"/>
      <c r="E117" s="125"/>
      <c r="F117" s="125"/>
      <c r="J117" s="125"/>
      <c r="K117" s="125"/>
    </row>
    <row r="118">
      <c r="D118" s="125"/>
      <c r="E118" s="125"/>
      <c r="F118" s="125"/>
      <c r="J118" s="125"/>
      <c r="K118" s="125"/>
    </row>
    <row r="119">
      <c r="D119" s="125"/>
      <c r="E119" s="125"/>
      <c r="F119" s="125"/>
      <c r="J119" s="125"/>
      <c r="K119" s="125"/>
    </row>
    <row r="120">
      <c r="D120" s="125"/>
      <c r="E120" s="125"/>
      <c r="F120" s="125"/>
      <c r="J120" s="125"/>
      <c r="K120" s="125"/>
    </row>
    <row r="121">
      <c r="D121" s="125"/>
      <c r="E121" s="125"/>
      <c r="F121" s="125"/>
      <c r="J121" s="125"/>
      <c r="K121" s="125"/>
    </row>
    <row r="122">
      <c r="D122" s="125"/>
      <c r="E122" s="125"/>
      <c r="F122" s="125"/>
      <c r="J122" s="125"/>
      <c r="K122" s="125"/>
    </row>
    <row r="123">
      <c r="D123" s="125"/>
      <c r="E123" s="125"/>
      <c r="F123" s="125"/>
      <c r="J123" s="125"/>
      <c r="K123" s="125"/>
    </row>
    <row r="124">
      <c r="D124" s="125"/>
      <c r="E124" s="125"/>
      <c r="F124" s="125"/>
      <c r="J124" s="125"/>
      <c r="K124" s="125"/>
    </row>
    <row r="125">
      <c r="D125" s="125"/>
      <c r="E125" s="125"/>
      <c r="F125" s="125"/>
      <c r="J125" s="125"/>
      <c r="K125" s="125"/>
    </row>
    <row r="126">
      <c r="D126" s="125"/>
      <c r="E126" s="125"/>
      <c r="F126" s="125"/>
      <c r="J126" s="125"/>
      <c r="K126" s="125"/>
    </row>
    <row r="127">
      <c r="D127" s="125"/>
      <c r="E127" s="125"/>
      <c r="F127" s="125"/>
      <c r="J127" s="125"/>
      <c r="K127" s="125"/>
    </row>
    <row r="128">
      <c r="D128" s="125"/>
      <c r="E128" s="125"/>
      <c r="F128" s="125"/>
      <c r="J128" s="125"/>
      <c r="K128" s="125"/>
    </row>
    <row r="129">
      <c r="D129" s="125"/>
      <c r="E129" s="125"/>
      <c r="F129" s="125"/>
      <c r="J129" s="125"/>
      <c r="K129" s="125"/>
    </row>
    <row r="130">
      <c r="D130" s="125"/>
      <c r="E130" s="125"/>
      <c r="F130" s="125"/>
      <c r="J130" s="125"/>
      <c r="K130" s="125"/>
    </row>
    <row r="131">
      <c r="D131" s="125"/>
      <c r="E131" s="125"/>
      <c r="F131" s="125"/>
      <c r="J131" s="125"/>
      <c r="K131" s="125"/>
    </row>
    <row r="132">
      <c r="D132" s="125"/>
      <c r="E132" s="125"/>
      <c r="F132" s="125"/>
      <c r="J132" s="125"/>
      <c r="K132" s="125"/>
    </row>
    <row r="133">
      <c r="D133" s="125"/>
      <c r="E133" s="125"/>
      <c r="F133" s="125"/>
      <c r="J133" s="125"/>
      <c r="K133" s="125"/>
    </row>
    <row r="134">
      <c r="D134" s="125"/>
      <c r="E134" s="125"/>
      <c r="F134" s="125"/>
      <c r="J134" s="125"/>
      <c r="K134" s="125"/>
    </row>
    <row r="135">
      <c r="D135" s="125"/>
      <c r="E135" s="125"/>
      <c r="F135" s="125"/>
      <c r="J135" s="125"/>
      <c r="K135" s="125"/>
    </row>
    <row r="136">
      <c r="D136" s="125"/>
      <c r="E136" s="125"/>
      <c r="F136" s="125"/>
      <c r="J136" s="125"/>
      <c r="K136" s="125"/>
    </row>
    <row r="137">
      <c r="D137" s="125"/>
      <c r="E137" s="125"/>
      <c r="F137" s="125"/>
      <c r="J137" s="125"/>
      <c r="K137" s="125"/>
    </row>
    <row r="138">
      <c r="D138" s="125"/>
      <c r="E138" s="125"/>
      <c r="F138" s="125"/>
      <c r="J138" s="125"/>
      <c r="K138" s="125"/>
    </row>
    <row r="139">
      <c r="D139" s="125"/>
      <c r="E139" s="125"/>
      <c r="F139" s="125"/>
      <c r="J139" s="125"/>
      <c r="K139" s="125"/>
    </row>
    <row r="140">
      <c r="D140" s="125"/>
      <c r="E140" s="125"/>
      <c r="F140" s="125"/>
      <c r="J140" s="125"/>
      <c r="K140" s="125"/>
    </row>
    <row r="141">
      <c r="D141" s="125"/>
      <c r="E141" s="125"/>
      <c r="F141" s="125"/>
      <c r="J141" s="125"/>
      <c r="K141" s="125"/>
    </row>
    <row r="142">
      <c r="D142" s="125"/>
      <c r="E142" s="125"/>
      <c r="F142" s="125"/>
      <c r="J142" s="125"/>
      <c r="K142" s="125"/>
    </row>
    <row r="143">
      <c r="D143" s="125"/>
      <c r="E143" s="125"/>
      <c r="F143" s="125"/>
      <c r="J143" s="125"/>
      <c r="K143" s="125"/>
    </row>
    <row r="144">
      <c r="D144" s="125"/>
      <c r="E144" s="125"/>
      <c r="F144" s="125"/>
      <c r="J144" s="125"/>
      <c r="K144" s="125"/>
    </row>
    <row r="145">
      <c r="D145" s="125"/>
      <c r="E145" s="125"/>
      <c r="F145" s="125"/>
      <c r="J145" s="125"/>
      <c r="K145" s="125"/>
    </row>
    <row r="146">
      <c r="D146" s="125"/>
      <c r="E146" s="125"/>
      <c r="F146" s="125"/>
      <c r="J146" s="125"/>
      <c r="K146" s="125"/>
    </row>
    <row r="147">
      <c r="D147" s="125"/>
      <c r="E147" s="125"/>
      <c r="F147" s="125"/>
      <c r="J147" s="125"/>
      <c r="K147" s="125"/>
    </row>
    <row r="148">
      <c r="D148" s="125"/>
      <c r="E148" s="125"/>
      <c r="F148" s="125"/>
      <c r="J148" s="125"/>
      <c r="K148" s="125"/>
    </row>
    <row r="149">
      <c r="D149" s="125"/>
      <c r="E149" s="125"/>
      <c r="F149" s="125"/>
      <c r="J149" s="125"/>
      <c r="K149" s="125"/>
    </row>
    <row r="150">
      <c r="D150" s="125"/>
      <c r="E150" s="125"/>
      <c r="F150" s="125"/>
      <c r="J150" s="125"/>
      <c r="K150" s="125"/>
    </row>
    <row r="151">
      <c r="D151" s="125"/>
      <c r="E151" s="125"/>
      <c r="F151" s="125"/>
      <c r="J151" s="125"/>
      <c r="K151" s="125"/>
    </row>
    <row r="152">
      <c r="D152" s="125"/>
      <c r="E152" s="125"/>
      <c r="F152" s="125"/>
      <c r="J152" s="125"/>
      <c r="K152" s="125"/>
    </row>
    <row r="153">
      <c r="D153" s="125"/>
      <c r="E153" s="125"/>
      <c r="F153" s="125"/>
      <c r="J153" s="125"/>
      <c r="K153" s="125"/>
    </row>
    <row r="154">
      <c r="D154" s="125"/>
      <c r="E154" s="125"/>
      <c r="F154" s="125"/>
      <c r="J154" s="125"/>
      <c r="K154" s="125"/>
    </row>
    <row r="155">
      <c r="D155" s="125"/>
      <c r="E155" s="125"/>
      <c r="F155" s="125"/>
      <c r="J155" s="125"/>
      <c r="K155" s="125"/>
    </row>
    <row r="156">
      <c r="D156" s="125"/>
      <c r="E156" s="125"/>
      <c r="F156" s="125"/>
      <c r="J156" s="125"/>
      <c r="K156" s="125"/>
    </row>
    <row r="157">
      <c r="D157" s="125"/>
      <c r="E157" s="125"/>
      <c r="F157" s="125"/>
      <c r="J157" s="125"/>
      <c r="K157" s="125"/>
    </row>
    <row r="158">
      <c r="D158" s="125"/>
      <c r="E158" s="125"/>
      <c r="F158" s="125"/>
      <c r="J158" s="125"/>
      <c r="K158" s="125"/>
    </row>
    <row r="159">
      <c r="D159" s="125"/>
      <c r="E159" s="125"/>
      <c r="F159" s="125"/>
      <c r="J159" s="125"/>
      <c r="K159" s="125"/>
    </row>
    <row r="160">
      <c r="D160" s="125"/>
      <c r="E160" s="125"/>
      <c r="F160" s="125"/>
      <c r="J160" s="125"/>
      <c r="K160" s="125"/>
    </row>
    <row r="161">
      <c r="D161" s="125"/>
      <c r="E161" s="125"/>
      <c r="F161" s="125"/>
      <c r="J161" s="125"/>
      <c r="K161" s="125"/>
    </row>
    <row r="162">
      <c r="D162" s="125"/>
      <c r="E162" s="125"/>
      <c r="F162" s="125"/>
      <c r="J162" s="125"/>
      <c r="K162" s="125"/>
    </row>
    <row r="163">
      <c r="D163" s="125"/>
      <c r="E163" s="125"/>
      <c r="F163" s="125"/>
      <c r="J163" s="125"/>
      <c r="K163" s="125"/>
    </row>
    <row r="164">
      <c r="D164" s="125"/>
      <c r="E164" s="125"/>
      <c r="F164" s="125"/>
      <c r="J164" s="125"/>
      <c r="K164" s="125"/>
    </row>
    <row r="165">
      <c r="D165" s="125"/>
      <c r="E165" s="125"/>
      <c r="F165" s="125"/>
      <c r="J165" s="125"/>
      <c r="K165" s="125"/>
    </row>
    <row r="166">
      <c r="D166" s="125"/>
      <c r="E166" s="125"/>
      <c r="F166" s="125"/>
      <c r="J166" s="125"/>
      <c r="K166" s="125"/>
    </row>
    <row r="167">
      <c r="D167" s="125"/>
      <c r="E167" s="125"/>
      <c r="F167" s="125"/>
      <c r="J167" s="125"/>
      <c r="K167" s="125"/>
    </row>
    <row r="168">
      <c r="D168" s="125"/>
      <c r="E168" s="125"/>
      <c r="F168" s="125"/>
      <c r="J168" s="125"/>
      <c r="K168" s="125"/>
    </row>
    <row r="169">
      <c r="D169" s="125"/>
      <c r="E169" s="125"/>
      <c r="F169" s="125"/>
      <c r="J169" s="125"/>
      <c r="K169" s="125"/>
    </row>
    <row r="170">
      <c r="D170" s="125"/>
      <c r="E170" s="125"/>
      <c r="F170" s="125"/>
      <c r="J170" s="125"/>
      <c r="K170" s="125"/>
    </row>
    <row r="171">
      <c r="D171" s="125"/>
      <c r="E171" s="125"/>
      <c r="F171" s="125"/>
      <c r="J171" s="125"/>
      <c r="K171" s="125"/>
    </row>
    <row r="172">
      <c r="D172" s="125"/>
      <c r="E172" s="125"/>
      <c r="F172" s="125"/>
      <c r="J172" s="125"/>
      <c r="K172" s="125"/>
    </row>
    <row r="173">
      <c r="D173" s="125"/>
      <c r="E173" s="125"/>
      <c r="F173" s="125"/>
      <c r="J173" s="125"/>
      <c r="K173" s="125"/>
    </row>
    <row r="174">
      <c r="D174" s="125"/>
      <c r="E174" s="125"/>
      <c r="F174" s="125"/>
      <c r="J174" s="125"/>
      <c r="K174" s="125"/>
    </row>
    <row r="175">
      <c r="D175" s="125"/>
      <c r="E175" s="125"/>
      <c r="F175" s="125"/>
      <c r="J175" s="125"/>
      <c r="K175" s="125"/>
    </row>
    <row r="176">
      <c r="D176" s="125"/>
      <c r="E176" s="125"/>
      <c r="F176" s="125"/>
      <c r="J176" s="125"/>
      <c r="K176" s="125"/>
    </row>
    <row r="177">
      <c r="D177" s="125"/>
      <c r="E177" s="125"/>
      <c r="F177" s="125"/>
      <c r="J177" s="125"/>
      <c r="K177" s="125"/>
    </row>
    <row r="178">
      <c r="D178" s="125"/>
      <c r="E178" s="125"/>
      <c r="F178" s="125"/>
      <c r="J178" s="125"/>
      <c r="K178" s="125"/>
    </row>
    <row r="179">
      <c r="D179" s="125"/>
      <c r="E179" s="125"/>
      <c r="F179" s="125"/>
      <c r="J179" s="125"/>
      <c r="K179" s="125"/>
    </row>
    <row r="180">
      <c r="D180" s="125"/>
      <c r="E180" s="125"/>
      <c r="F180" s="125"/>
      <c r="J180" s="125"/>
      <c r="K180" s="125"/>
    </row>
    <row r="181">
      <c r="D181" s="125"/>
      <c r="E181" s="125"/>
      <c r="F181" s="125"/>
      <c r="J181" s="125"/>
      <c r="K181" s="125"/>
    </row>
    <row r="182">
      <c r="D182" s="125"/>
      <c r="E182" s="125"/>
      <c r="F182" s="125"/>
      <c r="J182" s="125"/>
      <c r="K182" s="125"/>
    </row>
    <row r="183">
      <c r="D183" s="125"/>
      <c r="E183" s="125"/>
      <c r="F183" s="125"/>
      <c r="J183" s="125"/>
      <c r="K183" s="125"/>
    </row>
    <row r="184">
      <c r="D184" s="125"/>
      <c r="E184" s="125"/>
      <c r="F184" s="125"/>
      <c r="J184" s="125"/>
      <c r="K184" s="125"/>
    </row>
    <row r="185">
      <c r="D185" s="125"/>
      <c r="E185" s="125"/>
      <c r="F185" s="125"/>
      <c r="J185" s="125"/>
      <c r="K185" s="125"/>
    </row>
    <row r="186">
      <c r="D186" s="125"/>
      <c r="E186" s="125"/>
      <c r="F186" s="125"/>
      <c r="J186" s="125"/>
      <c r="K186" s="125"/>
    </row>
    <row r="187">
      <c r="D187" s="125"/>
      <c r="E187" s="125"/>
      <c r="F187" s="125"/>
      <c r="J187" s="125"/>
      <c r="K187" s="125"/>
    </row>
    <row r="188">
      <c r="D188" s="125"/>
      <c r="E188" s="125"/>
      <c r="F188" s="125"/>
      <c r="J188" s="125"/>
      <c r="K188" s="125"/>
    </row>
    <row r="189">
      <c r="D189" s="125"/>
      <c r="E189" s="125"/>
      <c r="F189" s="125"/>
      <c r="J189" s="125"/>
      <c r="K189" s="125"/>
    </row>
    <row r="190">
      <c r="D190" s="125"/>
      <c r="E190" s="125"/>
      <c r="F190" s="125"/>
      <c r="J190" s="125"/>
      <c r="K190" s="125"/>
    </row>
    <row r="191">
      <c r="D191" s="125"/>
      <c r="E191" s="125"/>
      <c r="F191" s="125"/>
      <c r="J191" s="125"/>
      <c r="K191" s="125"/>
    </row>
    <row r="192">
      <c r="D192" s="125"/>
      <c r="E192" s="125"/>
      <c r="F192" s="125"/>
      <c r="J192" s="125"/>
      <c r="K192" s="125"/>
    </row>
    <row r="193">
      <c r="D193" s="125"/>
      <c r="E193" s="125"/>
      <c r="F193" s="125"/>
      <c r="J193" s="125"/>
      <c r="K193" s="125"/>
    </row>
    <row r="194">
      <c r="D194" s="125"/>
      <c r="E194" s="125"/>
      <c r="F194" s="125"/>
      <c r="J194" s="125"/>
      <c r="K194" s="125"/>
    </row>
    <row r="195">
      <c r="D195" s="125"/>
      <c r="E195" s="125"/>
      <c r="F195" s="125"/>
      <c r="J195" s="125"/>
      <c r="K195" s="125"/>
    </row>
    <row r="196">
      <c r="D196" s="125"/>
      <c r="E196" s="125"/>
      <c r="F196" s="125"/>
      <c r="J196" s="125"/>
      <c r="K196" s="125"/>
    </row>
    <row r="197">
      <c r="D197" s="125"/>
      <c r="E197" s="125"/>
      <c r="F197" s="125"/>
      <c r="J197" s="125"/>
      <c r="K197" s="125"/>
    </row>
    <row r="198">
      <c r="D198" s="125"/>
      <c r="E198" s="125"/>
      <c r="F198" s="125"/>
      <c r="J198" s="125"/>
      <c r="K198" s="125"/>
    </row>
    <row r="199">
      <c r="D199" s="125"/>
      <c r="E199" s="125"/>
      <c r="F199" s="125"/>
      <c r="J199" s="125"/>
      <c r="K199" s="125"/>
    </row>
    <row r="200">
      <c r="D200" s="125"/>
      <c r="E200" s="125"/>
      <c r="F200" s="125"/>
      <c r="J200" s="125"/>
      <c r="K200" s="125"/>
    </row>
    <row r="201">
      <c r="D201" s="125"/>
      <c r="E201" s="125"/>
      <c r="F201" s="125"/>
      <c r="J201" s="125"/>
      <c r="K201" s="125"/>
    </row>
    <row r="202">
      <c r="D202" s="125"/>
      <c r="E202" s="125"/>
      <c r="F202" s="125"/>
      <c r="J202" s="125"/>
      <c r="K202" s="125"/>
    </row>
    <row r="203">
      <c r="D203" s="125"/>
      <c r="E203" s="125"/>
      <c r="F203" s="125"/>
      <c r="J203" s="125"/>
      <c r="K203" s="125"/>
    </row>
    <row r="204">
      <c r="D204" s="125"/>
      <c r="E204" s="125"/>
      <c r="F204" s="125"/>
      <c r="J204" s="125"/>
      <c r="K204" s="125"/>
    </row>
    <row r="205">
      <c r="D205" s="125"/>
      <c r="E205" s="125"/>
      <c r="F205" s="125"/>
      <c r="J205" s="125"/>
      <c r="K205" s="125"/>
    </row>
    <row r="206">
      <c r="D206" s="125"/>
      <c r="E206" s="125"/>
      <c r="F206" s="125"/>
      <c r="J206" s="125"/>
      <c r="K206" s="125"/>
    </row>
    <row r="207">
      <c r="D207" s="125"/>
      <c r="E207" s="125"/>
      <c r="F207" s="125"/>
      <c r="J207" s="125"/>
      <c r="K207" s="125"/>
    </row>
    <row r="208">
      <c r="D208" s="125"/>
      <c r="E208" s="125"/>
      <c r="F208" s="125"/>
      <c r="J208" s="125"/>
      <c r="K208" s="125"/>
    </row>
    <row r="209">
      <c r="D209" s="125"/>
      <c r="E209" s="125"/>
      <c r="F209" s="125"/>
      <c r="J209" s="125"/>
      <c r="K209" s="125"/>
    </row>
    <row r="210">
      <c r="D210" s="125"/>
      <c r="E210" s="125"/>
      <c r="F210" s="125"/>
      <c r="J210" s="125"/>
      <c r="K210" s="125"/>
    </row>
    <row r="211">
      <c r="D211" s="125"/>
      <c r="E211" s="125"/>
      <c r="F211" s="125"/>
      <c r="J211" s="125"/>
      <c r="K211" s="125"/>
    </row>
    <row r="212">
      <c r="D212" s="125"/>
      <c r="E212" s="125"/>
      <c r="F212" s="125"/>
      <c r="J212" s="125"/>
      <c r="K212" s="125"/>
    </row>
    <row r="213">
      <c r="D213" s="125"/>
      <c r="E213" s="125"/>
      <c r="F213" s="125"/>
      <c r="J213" s="125"/>
      <c r="K213" s="125"/>
    </row>
    <row r="214">
      <c r="D214" s="125"/>
      <c r="E214" s="125"/>
      <c r="F214" s="125"/>
      <c r="J214" s="125"/>
      <c r="K214" s="125"/>
    </row>
    <row r="215">
      <c r="D215" s="125"/>
      <c r="E215" s="125"/>
      <c r="F215" s="125"/>
      <c r="J215" s="125"/>
      <c r="K215" s="125"/>
    </row>
    <row r="216">
      <c r="D216" s="125"/>
      <c r="E216" s="125"/>
      <c r="F216" s="125"/>
      <c r="J216" s="125"/>
      <c r="K216" s="125"/>
    </row>
    <row r="217">
      <c r="D217" s="125"/>
      <c r="E217" s="125"/>
      <c r="F217" s="125"/>
      <c r="J217" s="125"/>
      <c r="K217" s="125"/>
    </row>
    <row r="218">
      <c r="D218" s="125"/>
      <c r="E218" s="125"/>
      <c r="F218" s="125"/>
      <c r="J218" s="125"/>
      <c r="K218" s="125"/>
    </row>
    <row r="219">
      <c r="D219" s="125"/>
      <c r="E219" s="125"/>
      <c r="F219" s="125"/>
      <c r="J219" s="125"/>
      <c r="K219" s="125"/>
    </row>
    <row r="220">
      <c r="D220" s="125"/>
      <c r="E220" s="125"/>
      <c r="F220" s="125"/>
      <c r="J220" s="125"/>
      <c r="K220" s="125"/>
    </row>
    <row r="221">
      <c r="D221" s="125"/>
      <c r="E221" s="125"/>
      <c r="F221" s="125"/>
      <c r="J221" s="125"/>
      <c r="K221" s="125"/>
    </row>
    <row r="222">
      <c r="D222" s="125"/>
      <c r="E222" s="125"/>
      <c r="F222" s="125"/>
      <c r="J222" s="125"/>
      <c r="K222" s="125"/>
    </row>
    <row r="223">
      <c r="D223" s="125"/>
      <c r="E223" s="125"/>
      <c r="F223" s="125"/>
      <c r="J223" s="125"/>
      <c r="K223" s="125"/>
    </row>
    <row r="224">
      <c r="D224" s="125"/>
      <c r="E224" s="125"/>
      <c r="F224" s="125"/>
      <c r="J224" s="125"/>
      <c r="K224" s="125"/>
    </row>
    <row r="225">
      <c r="D225" s="125"/>
      <c r="E225" s="125"/>
      <c r="F225" s="125"/>
      <c r="J225" s="125"/>
      <c r="K225" s="125"/>
    </row>
    <row r="226">
      <c r="D226" s="125"/>
      <c r="E226" s="125"/>
      <c r="F226" s="125"/>
      <c r="J226" s="125"/>
      <c r="K226" s="125"/>
    </row>
    <row r="227">
      <c r="D227" s="125"/>
      <c r="E227" s="125"/>
      <c r="F227" s="125"/>
      <c r="J227" s="125"/>
      <c r="K227" s="125"/>
    </row>
    <row r="228">
      <c r="D228" s="125"/>
      <c r="E228" s="125"/>
      <c r="F228" s="125"/>
      <c r="J228" s="125"/>
      <c r="K228" s="125"/>
    </row>
    <row r="229">
      <c r="D229" s="125"/>
      <c r="E229" s="125"/>
      <c r="F229" s="125"/>
      <c r="J229" s="125"/>
      <c r="K229" s="125"/>
    </row>
    <row r="230">
      <c r="D230" s="125"/>
      <c r="E230" s="125"/>
      <c r="F230" s="125"/>
      <c r="J230" s="125"/>
      <c r="K230" s="125"/>
    </row>
    <row r="231">
      <c r="D231" s="125"/>
      <c r="E231" s="125"/>
      <c r="F231" s="125"/>
      <c r="J231" s="125"/>
      <c r="K231" s="125"/>
    </row>
    <row r="232">
      <c r="D232" s="125"/>
      <c r="E232" s="125"/>
      <c r="F232" s="125"/>
      <c r="J232" s="125"/>
      <c r="K232" s="125"/>
    </row>
    <row r="233">
      <c r="D233" s="125"/>
      <c r="E233" s="125"/>
      <c r="F233" s="125"/>
      <c r="J233" s="125"/>
      <c r="K233" s="125"/>
    </row>
    <row r="234">
      <c r="D234" s="125"/>
      <c r="E234" s="125"/>
      <c r="F234" s="125"/>
      <c r="J234" s="125"/>
      <c r="K234" s="125"/>
    </row>
    <row r="235">
      <c r="D235" s="125"/>
      <c r="E235" s="125"/>
      <c r="F235" s="125"/>
      <c r="J235" s="125"/>
      <c r="K235" s="125"/>
    </row>
    <row r="236">
      <c r="D236" s="125"/>
      <c r="E236" s="125"/>
      <c r="F236" s="125"/>
      <c r="J236" s="125"/>
      <c r="K236" s="125"/>
    </row>
    <row r="237">
      <c r="D237" s="125"/>
      <c r="E237" s="125"/>
      <c r="F237" s="125"/>
      <c r="J237" s="125"/>
      <c r="K237" s="125"/>
    </row>
    <row r="238">
      <c r="D238" s="125"/>
      <c r="E238" s="125"/>
      <c r="F238" s="125"/>
      <c r="J238" s="125"/>
      <c r="K238" s="125"/>
    </row>
    <row r="239">
      <c r="D239" s="125"/>
      <c r="E239" s="125"/>
      <c r="F239" s="125"/>
      <c r="J239" s="125"/>
      <c r="K239" s="125"/>
    </row>
    <row r="240">
      <c r="D240" s="125"/>
      <c r="E240" s="125"/>
      <c r="F240" s="125"/>
      <c r="J240" s="125"/>
      <c r="K240" s="125"/>
    </row>
    <row r="241">
      <c r="D241" s="125"/>
      <c r="E241" s="125"/>
      <c r="F241" s="125"/>
      <c r="J241" s="125"/>
      <c r="K241" s="125"/>
    </row>
    <row r="242">
      <c r="D242" s="125"/>
      <c r="E242" s="125"/>
      <c r="F242" s="125"/>
      <c r="J242" s="125"/>
      <c r="K242" s="125"/>
    </row>
    <row r="243">
      <c r="D243" s="125"/>
      <c r="E243" s="125"/>
      <c r="F243" s="125"/>
      <c r="J243" s="125"/>
      <c r="K243" s="125"/>
    </row>
    <row r="244">
      <c r="D244" s="125"/>
      <c r="E244" s="125"/>
      <c r="F244" s="125"/>
      <c r="J244" s="125"/>
      <c r="K244" s="125"/>
    </row>
    <row r="245">
      <c r="D245" s="125"/>
      <c r="E245" s="125"/>
      <c r="F245" s="125"/>
      <c r="J245" s="125"/>
      <c r="K245" s="125"/>
    </row>
    <row r="246">
      <c r="D246" s="125"/>
      <c r="E246" s="125"/>
      <c r="F246" s="125"/>
      <c r="J246" s="125"/>
      <c r="K246" s="125"/>
    </row>
    <row r="247">
      <c r="D247" s="125"/>
      <c r="E247" s="125"/>
      <c r="F247" s="125"/>
      <c r="J247" s="125"/>
      <c r="K247" s="125"/>
    </row>
    <row r="248">
      <c r="D248" s="125"/>
      <c r="E248" s="125"/>
      <c r="F248" s="125"/>
      <c r="J248" s="125"/>
      <c r="K248" s="125"/>
    </row>
    <row r="249">
      <c r="D249" s="125"/>
      <c r="E249" s="125"/>
      <c r="F249" s="125"/>
      <c r="J249" s="125"/>
      <c r="K249" s="125"/>
    </row>
    <row r="250">
      <c r="D250" s="125"/>
      <c r="E250" s="125"/>
      <c r="F250" s="125"/>
      <c r="J250" s="125"/>
      <c r="K250" s="125"/>
    </row>
    <row r="251">
      <c r="D251" s="125"/>
      <c r="E251" s="125"/>
      <c r="F251" s="125"/>
      <c r="J251" s="125"/>
      <c r="K251" s="125"/>
    </row>
    <row r="252">
      <c r="D252" s="125"/>
      <c r="E252" s="125"/>
      <c r="F252" s="125"/>
      <c r="J252" s="125"/>
      <c r="K252" s="125"/>
    </row>
    <row r="253">
      <c r="D253" s="125"/>
      <c r="E253" s="125"/>
      <c r="F253" s="125"/>
      <c r="J253" s="125"/>
      <c r="K253" s="125"/>
    </row>
    <row r="254">
      <c r="D254" s="125"/>
      <c r="E254" s="125"/>
      <c r="F254" s="125"/>
      <c r="J254" s="125"/>
      <c r="K254" s="125"/>
    </row>
    <row r="255">
      <c r="D255" s="125"/>
      <c r="E255" s="125"/>
      <c r="F255" s="125"/>
      <c r="J255" s="125"/>
      <c r="K255" s="125"/>
    </row>
    <row r="256">
      <c r="D256" s="125"/>
      <c r="E256" s="125"/>
      <c r="F256" s="125"/>
      <c r="J256" s="125"/>
      <c r="K256" s="125"/>
    </row>
    <row r="257">
      <c r="D257" s="125"/>
      <c r="E257" s="125"/>
      <c r="F257" s="125"/>
      <c r="J257" s="125"/>
      <c r="K257" s="125"/>
    </row>
    <row r="258">
      <c r="D258" s="125"/>
      <c r="E258" s="125"/>
      <c r="F258" s="125"/>
      <c r="J258" s="125"/>
      <c r="K258" s="125"/>
    </row>
    <row r="259">
      <c r="D259" s="125"/>
      <c r="E259" s="125"/>
      <c r="F259" s="125"/>
      <c r="J259" s="125"/>
      <c r="K259" s="125"/>
    </row>
    <row r="260">
      <c r="D260" s="125"/>
      <c r="E260" s="125"/>
      <c r="F260" s="125"/>
      <c r="J260" s="125"/>
      <c r="K260" s="125"/>
    </row>
    <row r="261">
      <c r="D261" s="125"/>
      <c r="E261" s="125"/>
      <c r="F261" s="125"/>
      <c r="J261" s="125"/>
      <c r="K261" s="125"/>
    </row>
    <row r="262">
      <c r="D262" s="125"/>
      <c r="E262" s="125"/>
      <c r="F262" s="125"/>
      <c r="J262" s="125"/>
      <c r="K262" s="125"/>
    </row>
    <row r="263">
      <c r="D263" s="125"/>
      <c r="E263" s="125"/>
      <c r="F263" s="125"/>
      <c r="J263" s="125"/>
      <c r="K263" s="125"/>
    </row>
    <row r="264">
      <c r="D264" s="125"/>
      <c r="E264" s="125"/>
      <c r="F264" s="125"/>
      <c r="J264" s="125"/>
      <c r="K264" s="125"/>
    </row>
    <row r="265">
      <c r="D265" s="125"/>
      <c r="E265" s="125"/>
      <c r="F265" s="125"/>
      <c r="J265" s="125"/>
      <c r="K265" s="125"/>
    </row>
    <row r="266">
      <c r="D266" s="125"/>
      <c r="E266" s="125"/>
      <c r="F266" s="125"/>
      <c r="J266" s="125"/>
      <c r="K266" s="125"/>
    </row>
    <row r="267">
      <c r="D267" s="125"/>
      <c r="E267" s="125"/>
      <c r="F267" s="125"/>
      <c r="J267" s="125"/>
      <c r="K267" s="125"/>
    </row>
    <row r="268">
      <c r="D268" s="125"/>
      <c r="E268" s="125"/>
      <c r="F268" s="125"/>
      <c r="J268" s="125"/>
      <c r="K268" s="125"/>
    </row>
    <row r="269">
      <c r="D269" s="125"/>
      <c r="E269" s="125"/>
      <c r="F269" s="125"/>
      <c r="J269" s="125"/>
      <c r="K269" s="125"/>
    </row>
    <row r="270">
      <c r="D270" s="125"/>
      <c r="E270" s="125"/>
      <c r="F270" s="125"/>
      <c r="J270" s="125"/>
      <c r="K270" s="125"/>
    </row>
    <row r="271">
      <c r="D271" s="125"/>
      <c r="E271" s="125"/>
      <c r="F271" s="125"/>
      <c r="J271" s="125"/>
      <c r="K271" s="125"/>
    </row>
    <row r="272">
      <c r="D272" s="125"/>
      <c r="E272" s="125"/>
      <c r="F272" s="125"/>
      <c r="J272" s="125"/>
      <c r="K272" s="125"/>
    </row>
    <row r="273">
      <c r="D273" s="125"/>
      <c r="E273" s="125"/>
      <c r="F273" s="125"/>
      <c r="J273" s="125"/>
      <c r="K273" s="125"/>
    </row>
    <row r="274">
      <c r="D274" s="125"/>
      <c r="E274" s="125"/>
      <c r="F274" s="125"/>
      <c r="J274" s="125"/>
      <c r="K274" s="125"/>
    </row>
    <row r="275">
      <c r="D275" s="125"/>
      <c r="E275" s="125"/>
      <c r="F275" s="125"/>
      <c r="J275" s="125"/>
      <c r="K275" s="125"/>
    </row>
    <row r="276">
      <c r="D276" s="125"/>
      <c r="E276" s="125"/>
      <c r="F276" s="125"/>
      <c r="J276" s="125"/>
      <c r="K276" s="125"/>
    </row>
    <row r="277">
      <c r="D277" s="125"/>
      <c r="E277" s="125"/>
      <c r="F277" s="125"/>
      <c r="J277" s="125"/>
      <c r="K277" s="125"/>
    </row>
    <row r="278">
      <c r="D278" s="125"/>
      <c r="E278" s="125"/>
      <c r="F278" s="125"/>
      <c r="J278" s="125"/>
      <c r="K278" s="125"/>
    </row>
    <row r="279">
      <c r="D279" s="125"/>
      <c r="E279" s="125"/>
      <c r="F279" s="125"/>
      <c r="J279" s="125"/>
      <c r="K279" s="125"/>
    </row>
    <row r="280">
      <c r="D280" s="125"/>
      <c r="E280" s="125"/>
      <c r="F280" s="125"/>
      <c r="J280" s="125"/>
      <c r="K280" s="125"/>
    </row>
    <row r="281">
      <c r="D281" s="125"/>
      <c r="E281" s="125"/>
      <c r="F281" s="125"/>
      <c r="J281" s="125"/>
      <c r="K281" s="125"/>
    </row>
    <row r="282">
      <c r="D282" s="125"/>
      <c r="E282" s="125"/>
      <c r="F282" s="125"/>
      <c r="J282" s="125"/>
      <c r="K282" s="125"/>
    </row>
    <row r="283">
      <c r="D283" s="125"/>
      <c r="E283" s="125"/>
      <c r="F283" s="125"/>
      <c r="J283" s="125"/>
      <c r="K283" s="125"/>
    </row>
    <row r="284">
      <c r="D284" s="125"/>
      <c r="E284" s="125"/>
      <c r="F284" s="125"/>
      <c r="J284" s="125"/>
      <c r="K284" s="125"/>
    </row>
    <row r="285">
      <c r="D285" s="125"/>
      <c r="E285" s="125"/>
      <c r="F285" s="125"/>
      <c r="J285" s="125"/>
      <c r="K285" s="125"/>
    </row>
    <row r="286">
      <c r="D286" s="125"/>
      <c r="E286" s="125"/>
      <c r="F286" s="125"/>
      <c r="J286" s="125"/>
      <c r="K286" s="125"/>
    </row>
    <row r="287">
      <c r="D287" s="125"/>
      <c r="E287" s="125"/>
      <c r="F287" s="125"/>
      <c r="J287" s="125"/>
      <c r="K287" s="125"/>
    </row>
    <row r="288">
      <c r="D288" s="125"/>
      <c r="E288" s="125"/>
      <c r="F288" s="125"/>
      <c r="J288" s="125"/>
      <c r="K288" s="125"/>
    </row>
    <row r="289">
      <c r="D289" s="125"/>
      <c r="E289" s="125"/>
      <c r="F289" s="125"/>
      <c r="J289" s="125"/>
      <c r="K289" s="125"/>
    </row>
    <row r="290">
      <c r="D290" s="125"/>
      <c r="E290" s="125"/>
      <c r="F290" s="125"/>
      <c r="J290" s="125"/>
      <c r="K290" s="125"/>
    </row>
    <row r="291">
      <c r="D291" s="125"/>
      <c r="E291" s="125"/>
      <c r="F291" s="125"/>
      <c r="J291" s="125"/>
      <c r="K291" s="125"/>
    </row>
    <row r="292">
      <c r="D292" s="125"/>
      <c r="E292" s="125"/>
      <c r="F292" s="125"/>
      <c r="J292" s="125"/>
      <c r="K292" s="125"/>
    </row>
    <row r="293">
      <c r="D293" s="125"/>
      <c r="E293" s="125"/>
      <c r="F293" s="125"/>
      <c r="J293" s="125"/>
      <c r="K293" s="125"/>
    </row>
    <row r="294">
      <c r="D294" s="125"/>
      <c r="E294" s="125"/>
      <c r="F294" s="125"/>
      <c r="J294" s="125"/>
      <c r="K294" s="125"/>
    </row>
    <row r="295">
      <c r="D295" s="125"/>
      <c r="E295" s="125"/>
      <c r="F295" s="125"/>
      <c r="J295" s="125"/>
      <c r="K295" s="125"/>
    </row>
    <row r="296">
      <c r="D296" s="125"/>
      <c r="E296" s="125"/>
      <c r="F296" s="125"/>
      <c r="J296" s="125"/>
      <c r="K296" s="125"/>
    </row>
    <row r="297">
      <c r="D297" s="125"/>
      <c r="E297" s="125"/>
      <c r="F297" s="125"/>
      <c r="J297" s="125"/>
      <c r="K297" s="125"/>
    </row>
    <row r="298">
      <c r="D298" s="125"/>
      <c r="E298" s="125"/>
      <c r="F298" s="125"/>
      <c r="J298" s="125"/>
      <c r="K298" s="125"/>
    </row>
    <row r="299">
      <c r="D299" s="125"/>
      <c r="E299" s="125"/>
      <c r="F299" s="125"/>
      <c r="J299" s="125"/>
      <c r="K299" s="125"/>
    </row>
    <row r="300">
      <c r="D300" s="125"/>
      <c r="E300" s="125"/>
      <c r="F300" s="125"/>
      <c r="J300" s="125"/>
      <c r="K300" s="125"/>
    </row>
    <row r="301">
      <c r="D301" s="125"/>
      <c r="E301" s="125"/>
      <c r="F301" s="125"/>
      <c r="J301" s="125"/>
      <c r="K301" s="125"/>
    </row>
    <row r="302">
      <c r="D302" s="125"/>
      <c r="E302" s="125"/>
      <c r="F302" s="125"/>
      <c r="J302" s="125"/>
      <c r="K302" s="125"/>
    </row>
    <row r="303">
      <c r="D303" s="125"/>
      <c r="E303" s="125"/>
      <c r="F303" s="125"/>
      <c r="J303" s="125"/>
      <c r="K303" s="125"/>
    </row>
    <row r="304">
      <c r="D304" s="125"/>
      <c r="E304" s="125"/>
      <c r="F304" s="125"/>
      <c r="J304" s="125"/>
      <c r="K304" s="125"/>
    </row>
    <row r="305">
      <c r="D305" s="125"/>
      <c r="E305" s="125"/>
      <c r="F305" s="125"/>
      <c r="J305" s="125"/>
      <c r="K305" s="125"/>
    </row>
    <row r="306">
      <c r="D306" s="125"/>
      <c r="E306" s="125"/>
      <c r="F306" s="125"/>
      <c r="J306" s="125"/>
      <c r="K306" s="125"/>
    </row>
    <row r="307">
      <c r="D307" s="125"/>
      <c r="E307" s="125"/>
      <c r="F307" s="125"/>
      <c r="J307" s="125"/>
      <c r="K307" s="125"/>
    </row>
    <row r="308">
      <c r="D308" s="125"/>
      <c r="E308" s="125"/>
      <c r="F308" s="125"/>
      <c r="J308" s="125"/>
      <c r="K308" s="125"/>
    </row>
    <row r="309">
      <c r="D309" s="125"/>
      <c r="E309" s="125"/>
      <c r="F309" s="125"/>
      <c r="J309" s="125"/>
      <c r="K309" s="125"/>
    </row>
    <row r="310">
      <c r="D310" s="125"/>
      <c r="E310" s="125"/>
      <c r="F310" s="125"/>
      <c r="J310" s="125"/>
      <c r="K310" s="125"/>
    </row>
    <row r="311">
      <c r="D311" s="125"/>
      <c r="E311" s="125"/>
      <c r="F311" s="125"/>
      <c r="J311" s="125"/>
      <c r="K311" s="125"/>
    </row>
    <row r="312">
      <c r="D312" s="125"/>
      <c r="E312" s="125"/>
      <c r="F312" s="125"/>
      <c r="J312" s="125"/>
      <c r="K312" s="125"/>
    </row>
    <row r="313">
      <c r="D313" s="125"/>
      <c r="E313" s="125"/>
      <c r="F313" s="125"/>
      <c r="J313" s="125"/>
      <c r="K313" s="125"/>
    </row>
    <row r="314">
      <c r="D314" s="125"/>
      <c r="E314" s="125"/>
      <c r="F314" s="125"/>
      <c r="J314" s="125"/>
      <c r="K314" s="125"/>
    </row>
    <row r="315">
      <c r="D315" s="125"/>
      <c r="E315" s="125"/>
      <c r="F315" s="125"/>
      <c r="J315" s="125"/>
      <c r="K315" s="125"/>
    </row>
    <row r="316">
      <c r="D316" s="125"/>
      <c r="E316" s="125"/>
      <c r="F316" s="125"/>
      <c r="J316" s="125"/>
      <c r="K316" s="125"/>
    </row>
    <row r="317">
      <c r="D317" s="125"/>
      <c r="E317" s="125"/>
      <c r="F317" s="125"/>
      <c r="J317" s="125"/>
      <c r="K317" s="125"/>
    </row>
    <row r="318">
      <c r="D318" s="125"/>
      <c r="E318" s="125"/>
      <c r="F318" s="125"/>
      <c r="J318" s="125"/>
      <c r="K318" s="125"/>
    </row>
    <row r="319">
      <c r="D319" s="125"/>
      <c r="E319" s="125"/>
      <c r="F319" s="125"/>
      <c r="J319" s="125"/>
      <c r="K319" s="125"/>
    </row>
    <row r="320">
      <c r="D320" s="125"/>
      <c r="E320" s="125"/>
      <c r="F320" s="125"/>
      <c r="J320" s="125"/>
      <c r="K320" s="125"/>
    </row>
    <row r="321">
      <c r="D321" s="125"/>
      <c r="E321" s="125"/>
      <c r="F321" s="125"/>
      <c r="J321" s="125"/>
      <c r="K321" s="125"/>
    </row>
    <row r="322">
      <c r="D322" s="125"/>
      <c r="E322" s="125"/>
      <c r="F322" s="125"/>
      <c r="J322" s="125"/>
      <c r="K322" s="125"/>
    </row>
    <row r="323">
      <c r="D323" s="125"/>
      <c r="E323" s="125"/>
      <c r="F323" s="125"/>
      <c r="J323" s="125"/>
      <c r="K323" s="125"/>
    </row>
    <row r="324">
      <c r="D324" s="125"/>
      <c r="E324" s="125"/>
      <c r="F324" s="125"/>
      <c r="J324" s="125"/>
      <c r="K324" s="125"/>
    </row>
    <row r="325">
      <c r="D325" s="125"/>
      <c r="E325" s="125"/>
      <c r="F325" s="125"/>
      <c r="J325" s="125"/>
      <c r="K325" s="125"/>
    </row>
    <row r="326">
      <c r="D326" s="125"/>
      <c r="E326" s="125"/>
      <c r="F326" s="125"/>
      <c r="J326" s="125"/>
      <c r="K326" s="125"/>
    </row>
    <row r="327">
      <c r="D327" s="125"/>
      <c r="E327" s="125"/>
      <c r="F327" s="125"/>
      <c r="J327" s="125"/>
      <c r="K327" s="125"/>
    </row>
    <row r="328">
      <c r="D328" s="125"/>
      <c r="E328" s="125"/>
      <c r="F328" s="125"/>
      <c r="J328" s="125"/>
      <c r="K328" s="125"/>
    </row>
    <row r="329">
      <c r="D329" s="125"/>
      <c r="E329" s="125"/>
      <c r="F329" s="125"/>
      <c r="J329" s="125"/>
      <c r="K329" s="125"/>
    </row>
    <row r="330">
      <c r="D330" s="125"/>
      <c r="E330" s="125"/>
      <c r="F330" s="125"/>
      <c r="J330" s="125"/>
      <c r="K330" s="125"/>
    </row>
    <row r="331">
      <c r="D331" s="125"/>
      <c r="E331" s="125"/>
      <c r="F331" s="125"/>
      <c r="J331" s="125"/>
      <c r="K331" s="125"/>
    </row>
    <row r="332">
      <c r="D332" s="125"/>
      <c r="E332" s="125"/>
      <c r="F332" s="125"/>
      <c r="J332" s="125"/>
      <c r="K332" s="125"/>
    </row>
    <row r="333">
      <c r="D333" s="125"/>
      <c r="E333" s="125"/>
      <c r="F333" s="125"/>
      <c r="J333" s="125"/>
      <c r="K333" s="125"/>
    </row>
    <row r="334">
      <c r="D334" s="125"/>
      <c r="E334" s="125"/>
      <c r="F334" s="125"/>
      <c r="J334" s="125"/>
      <c r="K334" s="125"/>
    </row>
    <row r="335">
      <c r="D335" s="125"/>
      <c r="E335" s="125"/>
      <c r="F335" s="125"/>
      <c r="J335" s="125"/>
      <c r="K335" s="125"/>
    </row>
    <row r="336">
      <c r="D336" s="125"/>
      <c r="E336" s="125"/>
      <c r="F336" s="125"/>
      <c r="J336" s="125"/>
      <c r="K336" s="125"/>
    </row>
    <row r="337">
      <c r="D337" s="125"/>
      <c r="E337" s="125"/>
      <c r="F337" s="125"/>
      <c r="J337" s="125"/>
      <c r="K337" s="125"/>
    </row>
    <row r="338">
      <c r="D338" s="125"/>
      <c r="E338" s="125"/>
      <c r="F338" s="125"/>
      <c r="J338" s="125"/>
      <c r="K338" s="125"/>
    </row>
    <row r="339">
      <c r="D339" s="125"/>
      <c r="E339" s="125"/>
      <c r="F339" s="125"/>
      <c r="J339" s="125"/>
      <c r="K339" s="125"/>
    </row>
    <row r="340">
      <c r="D340" s="125"/>
      <c r="E340" s="125"/>
      <c r="F340" s="125"/>
      <c r="J340" s="125"/>
      <c r="K340" s="125"/>
    </row>
    <row r="341">
      <c r="D341" s="125"/>
      <c r="E341" s="125"/>
      <c r="F341" s="125"/>
      <c r="J341" s="125"/>
      <c r="K341" s="125"/>
    </row>
    <row r="342">
      <c r="D342" s="125"/>
      <c r="E342" s="125"/>
      <c r="F342" s="125"/>
      <c r="J342" s="125"/>
      <c r="K342" s="125"/>
    </row>
    <row r="343">
      <c r="D343" s="125"/>
      <c r="E343" s="125"/>
      <c r="F343" s="125"/>
      <c r="J343" s="125"/>
      <c r="K343" s="125"/>
    </row>
    <row r="344">
      <c r="D344" s="125"/>
      <c r="E344" s="125"/>
      <c r="F344" s="125"/>
      <c r="J344" s="125"/>
      <c r="K344" s="125"/>
    </row>
    <row r="345">
      <c r="D345" s="125"/>
      <c r="E345" s="125"/>
      <c r="F345" s="125"/>
      <c r="J345" s="125"/>
      <c r="K345" s="125"/>
    </row>
    <row r="346">
      <c r="D346" s="125"/>
      <c r="E346" s="125"/>
      <c r="F346" s="125"/>
      <c r="J346" s="125"/>
      <c r="K346" s="125"/>
    </row>
    <row r="347">
      <c r="D347" s="125"/>
      <c r="E347" s="125"/>
      <c r="F347" s="125"/>
      <c r="J347" s="125"/>
      <c r="K347" s="125"/>
    </row>
    <row r="348">
      <c r="D348" s="125"/>
      <c r="E348" s="125"/>
      <c r="F348" s="125"/>
      <c r="J348" s="125"/>
      <c r="K348" s="125"/>
    </row>
    <row r="349">
      <c r="D349" s="125"/>
      <c r="E349" s="125"/>
      <c r="F349" s="125"/>
      <c r="J349" s="125"/>
      <c r="K349" s="125"/>
    </row>
    <row r="350">
      <c r="D350" s="125"/>
      <c r="E350" s="125"/>
      <c r="F350" s="125"/>
      <c r="J350" s="125"/>
      <c r="K350" s="125"/>
    </row>
    <row r="351">
      <c r="D351" s="125"/>
      <c r="E351" s="125"/>
      <c r="F351" s="125"/>
      <c r="J351" s="125"/>
      <c r="K351" s="125"/>
    </row>
    <row r="352">
      <c r="D352" s="125"/>
      <c r="E352" s="125"/>
      <c r="F352" s="125"/>
      <c r="J352" s="125"/>
      <c r="K352" s="125"/>
    </row>
    <row r="353">
      <c r="D353" s="125"/>
      <c r="E353" s="125"/>
      <c r="F353" s="125"/>
      <c r="J353" s="125"/>
      <c r="K353" s="125"/>
    </row>
    <row r="354">
      <c r="D354" s="125"/>
      <c r="E354" s="125"/>
      <c r="F354" s="125"/>
      <c r="J354" s="125"/>
      <c r="K354" s="125"/>
    </row>
    <row r="355">
      <c r="D355" s="125"/>
      <c r="E355" s="125"/>
      <c r="F355" s="125"/>
      <c r="J355" s="125"/>
      <c r="K355" s="125"/>
    </row>
    <row r="356">
      <c r="D356" s="125"/>
      <c r="E356" s="125"/>
      <c r="F356" s="125"/>
      <c r="J356" s="125"/>
      <c r="K356" s="125"/>
    </row>
    <row r="357">
      <c r="D357" s="125"/>
      <c r="E357" s="125"/>
      <c r="F357" s="125"/>
      <c r="J357" s="125"/>
      <c r="K357" s="125"/>
    </row>
    <row r="358">
      <c r="D358" s="125"/>
      <c r="E358" s="125"/>
      <c r="F358" s="125"/>
      <c r="J358" s="125"/>
      <c r="K358" s="125"/>
    </row>
    <row r="359">
      <c r="D359" s="125"/>
      <c r="E359" s="125"/>
      <c r="F359" s="125"/>
      <c r="J359" s="125"/>
      <c r="K359" s="125"/>
    </row>
    <row r="360">
      <c r="D360" s="125"/>
      <c r="E360" s="125"/>
      <c r="F360" s="125"/>
      <c r="J360" s="125"/>
      <c r="K360" s="125"/>
    </row>
    <row r="361">
      <c r="D361" s="125"/>
      <c r="E361" s="125"/>
      <c r="F361" s="125"/>
      <c r="J361" s="125"/>
      <c r="K361" s="125"/>
    </row>
    <row r="362">
      <c r="D362" s="125"/>
      <c r="E362" s="125"/>
      <c r="F362" s="125"/>
      <c r="J362" s="125"/>
      <c r="K362" s="125"/>
    </row>
    <row r="363">
      <c r="D363" s="125"/>
      <c r="E363" s="125"/>
      <c r="F363" s="125"/>
      <c r="J363" s="125"/>
      <c r="K363" s="125"/>
    </row>
    <row r="364">
      <c r="D364" s="125"/>
      <c r="E364" s="125"/>
      <c r="F364" s="125"/>
      <c r="J364" s="125"/>
      <c r="K364" s="125"/>
    </row>
    <row r="365">
      <c r="D365" s="125"/>
      <c r="E365" s="125"/>
      <c r="F365" s="125"/>
      <c r="J365" s="125"/>
      <c r="K365" s="125"/>
    </row>
    <row r="366">
      <c r="D366" s="125"/>
      <c r="E366" s="125"/>
      <c r="F366" s="125"/>
      <c r="J366" s="125"/>
      <c r="K366" s="125"/>
    </row>
    <row r="367">
      <c r="D367" s="125"/>
      <c r="E367" s="125"/>
      <c r="F367" s="125"/>
      <c r="J367" s="125"/>
      <c r="K367" s="125"/>
    </row>
    <row r="368">
      <c r="D368" s="125"/>
      <c r="E368" s="125"/>
      <c r="F368" s="125"/>
      <c r="J368" s="125"/>
      <c r="K368" s="125"/>
    </row>
    <row r="369">
      <c r="D369" s="125"/>
      <c r="E369" s="125"/>
      <c r="F369" s="125"/>
      <c r="J369" s="125"/>
      <c r="K369" s="125"/>
    </row>
    <row r="370">
      <c r="D370" s="125"/>
      <c r="E370" s="125"/>
      <c r="F370" s="125"/>
      <c r="J370" s="125"/>
      <c r="K370" s="125"/>
    </row>
    <row r="371">
      <c r="D371" s="125"/>
      <c r="E371" s="125"/>
      <c r="F371" s="125"/>
      <c r="J371" s="125"/>
      <c r="K371" s="125"/>
    </row>
    <row r="372">
      <c r="D372" s="125"/>
      <c r="E372" s="125"/>
      <c r="F372" s="125"/>
      <c r="J372" s="125"/>
      <c r="K372" s="125"/>
    </row>
    <row r="373">
      <c r="D373" s="125"/>
      <c r="E373" s="125"/>
      <c r="F373" s="125"/>
      <c r="J373" s="125"/>
      <c r="K373" s="125"/>
    </row>
    <row r="374">
      <c r="D374" s="125"/>
      <c r="E374" s="125"/>
      <c r="F374" s="125"/>
      <c r="J374" s="125"/>
      <c r="K374" s="125"/>
    </row>
    <row r="375">
      <c r="D375" s="125"/>
      <c r="E375" s="125"/>
      <c r="F375" s="125"/>
      <c r="J375" s="125"/>
      <c r="K375" s="125"/>
    </row>
    <row r="376">
      <c r="D376" s="125"/>
      <c r="E376" s="125"/>
      <c r="F376" s="125"/>
      <c r="J376" s="125"/>
      <c r="K376" s="125"/>
    </row>
    <row r="377">
      <c r="D377" s="125"/>
      <c r="E377" s="125"/>
      <c r="F377" s="125"/>
      <c r="J377" s="125"/>
      <c r="K377" s="125"/>
    </row>
    <row r="378">
      <c r="D378" s="125"/>
      <c r="E378" s="125"/>
      <c r="F378" s="125"/>
      <c r="J378" s="125"/>
      <c r="K378" s="125"/>
    </row>
    <row r="379">
      <c r="D379" s="125"/>
      <c r="E379" s="125"/>
      <c r="F379" s="125"/>
      <c r="J379" s="125"/>
      <c r="K379" s="125"/>
    </row>
    <row r="380">
      <c r="D380" s="125"/>
      <c r="E380" s="125"/>
      <c r="F380" s="125"/>
      <c r="J380" s="125"/>
      <c r="K380" s="125"/>
    </row>
    <row r="381">
      <c r="D381" s="125"/>
      <c r="E381" s="125"/>
      <c r="F381" s="125"/>
      <c r="J381" s="125"/>
      <c r="K381" s="125"/>
    </row>
    <row r="382">
      <c r="D382" s="125"/>
      <c r="E382" s="125"/>
      <c r="F382" s="125"/>
      <c r="J382" s="125"/>
      <c r="K382" s="125"/>
    </row>
    <row r="383">
      <c r="D383" s="125"/>
      <c r="E383" s="125"/>
      <c r="F383" s="125"/>
      <c r="J383" s="125"/>
      <c r="K383" s="125"/>
    </row>
    <row r="384">
      <c r="D384" s="125"/>
      <c r="E384" s="125"/>
      <c r="F384" s="125"/>
      <c r="J384" s="125"/>
      <c r="K384" s="125"/>
    </row>
    <row r="385">
      <c r="D385" s="125"/>
      <c r="E385" s="125"/>
      <c r="F385" s="125"/>
      <c r="J385" s="125"/>
      <c r="K385" s="125"/>
    </row>
    <row r="386">
      <c r="D386" s="125"/>
      <c r="E386" s="125"/>
      <c r="F386" s="125"/>
      <c r="J386" s="125"/>
      <c r="K386" s="125"/>
    </row>
    <row r="387">
      <c r="D387" s="125"/>
      <c r="E387" s="125"/>
      <c r="F387" s="125"/>
      <c r="J387" s="125"/>
      <c r="K387" s="125"/>
    </row>
    <row r="388">
      <c r="D388" s="125"/>
      <c r="E388" s="125"/>
      <c r="F388" s="125"/>
      <c r="J388" s="125"/>
      <c r="K388" s="125"/>
    </row>
    <row r="389">
      <c r="D389" s="125"/>
      <c r="E389" s="125"/>
      <c r="F389" s="125"/>
      <c r="J389" s="125"/>
      <c r="K389" s="125"/>
    </row>
    <row r="390">
      <c r="D390" s="125"/>
      <c r="E390" s="125"/>
      <c r="F390" s="125"/>
      <c r="J390" s="125"/>
      <c r="K390" s="125"/>
    </row>
    <row r="391">
      <c r="D391" s="125"/>
      <c r="E391" s="125"/>
      <c r="F391" s="125"/>
      <c r="J391" s="125"/>
      <c r="K391" s="125"/>
    </row>
    <row r="392">
      <c r="D392" s="125"/>
      <c r="E392" s="125"/>
      <c r="F392" s="125"/>
      <c r="J392" s="125"/>
      <c r="K392" s="125"/>
    </row>
    <row r="393">
      <c r="D393" s="125"/>
      <c r="E393" s="125"/>
      <c r="F393" s="125"/>
      <c r="J393" s="125"/>
      <c r="K393" s="125"/>
    </row>
    <row r="394">
      <c r="D394" s="125"/>
      <c r="E394" s="125"/>
      <c r="F394" s="125"/>
      <c r="J394" s="125"/>
      <c r="K394" s="125"/>
    </row>
    <row r="395">
      <c r="D395" s="125"/>
      <c r="E395" s="125"/>
      <c r="F395" s="125"/>
      <c r="J395" s="125"/>
      <c r="K395" s="125"/>
    </row>
    <row r="396">
      <c r="D396" s="125"/>
      <c r="E396" s="125"/>
      <c r="F396" s="125"/>
      <c r="J396" s="125"/>
      <c r="K396" s="125"/>
    </row>
    <row r="397">
      <c r="D397" s="125"/>
      <c r="E397" s="125"/>
      <c r="F397" s="125"/>
      <c r="J397" s="125"/>
      <c r="K397" s="125"/>
    </row>
    <row r="398">
      <c r="D398" s="125"/>
      <c r="E398" s="125"/>
      <c r="F398" s="125"/>
      <c r="J398" s="125"/>
      <c r="K398" s="125"/>
    </row>
    <row r="399">
      <c r="D399" s="125"/>
      <c r="E399" s="125"/>
      <c r="F399" s="125"/>
      <c r="J399" s="125"/>
      <c r="K399" s="125"/>
    </row>
    <row r="400">
      <c r="D400" s="125"/>
      <c r="E400" s="125"/>
      <c r="F400" s="125"/>
      <c r="J400" s="125"/>
      <c r="K400" s="125"/>
    </row>
    <row r="401">
      <c r="D401" s="125"/>
      <c r="E401" s="125"/>
      <c r="F401" s="125"/>
      <c r="J401" s="125"/>
      <c r="K401" s="125"/>
    </row>
    <row r="402">
      <c r="D402" s="125"/>
      <c r="E402" s="125"/>
      <c r="F402" s="125"/>
      <c r="J402" s="125"/>
      <c r="K402" s="125"/>
    </row>
    <row r="403">
      <c r="D403" s="125"/>
      <c r="E403" s="125"/>
      <c r="F403" s="125"/>
      <c r="J403" s="125"/>
      <c r="K403" s="125"/>
    </row>
    <row r="404">
      <c r="D404" s="125"/>
      <c r="E404" s="125"/>
      <c r="F404" s="125"/>
      <c r="J404" s="125"/>
      <c r="K404" s="125"/>
    </row>
    <row r="405">
      <c r="D405" s="125"/>
      <c r="E405" s="125"/>
      <c r="F405" s="125"/>
      <c r="J405" s="125"/>
      <c r="K405" s="125"/>
    </row>
    <row r="406">
      <c r="D406" s="125"/>
      <c r="E406" s="125"/>
      <c r="F406" s="125"/>
      <c r="J406" s="125"/>
      <c r="K406" s="125"/>
    </row>
    <row r="407">
      <c r="D407" s="125"/>
      <c r="E407" s="125"/>
      <c r="F407" s="125"/>
      <c r="J407" s="125"/>
      <c r="K407" s="125"/>
    </row>
    <row r="408">
      <c r="D408" s="125"/>
      <c r="E408" s="125"/>
      <c r="F408" s="125"/>
      <c r="J408" s="125"/>
      <c r="K408" s="125"/>
    </row>
    <row r="409">
      <c r="D409" s="125"/>
      <c r="E409" s="125"/>
      <c r="F409" s="125"/>
      <c r="J409" s="125"/>
      <c r="K409" s="125"/>
    </row>
    <row r="410">
      <c r="D410" s="125"/>
      <c r="E410" s="125"/>
      <c r="F410" s="125"/>
      <c r="J410" s="125"/>
      <c r="K410" s="125"/>
    </row>
    <row r="411">
      <c r="D411" s="125"/>
      <c r="E411" s="125"/>
      <c r="F411" s="125"/>
      <c r="J411" s="125"/>
      <c r="K411" s="125"/>
    </row>
    <row r="412">
      <c r="D412" s="125"/>
      <c r="E412" s="125"/>
      <c r="F412" s="125"/>
      <c r="J412" s="125"/>
      <c r="K412" s="125"/>
    </row>
    <row r="413">
      <c r="D413" s="125"/>
      <c r="E413" s="125"/>
      <c r="F413" s="125"/>
      <c r="J413" s="125"/>
      <c r="K413" s="125"/>
    </row>
    <row r="414">
      <c r="D414" s="125"/>
      <c r="E414" s="125"/>
      <c r="F414" s="125"/>
      <c r="J414" s="125"/>
      <c r="K414" s="125"/>
    </row>
    <row r="415">
      <c r="D415" s="125"/>
      <c r="E415" s="125"/>
      <c r="F415" s="125"/>
      <c r="J415" s="125"/>
      <c r="K415" s="125"/>
    </row>
    <row r="416">
      <c r="D416" s="125"/>
      <c r="E416" s="125"/>
      <c r="F416" s="125"/>
      <c r="J416" s="125"/>
      <c r="K416" s="125"/>
    </row>
    <row r="417">
      <c r="D417" s="125"/>
      <c r="E417" s="125"/>
      <c r="F417" s="125"/>
      <c r="J417" s="125"/>
      <c r="K417" s="125"/>
    </row>
    <row r="418">
      <c r="D418" s="125"/>
      <c r="E418" s="125"/>
      <c r="F418" s="125"/>
      <c r="J418" s="125"/>
      <c r="K418" s="125"/>
    </row>
    <row r="419">
      <c r="D419" s="125"/>
      <c r="E419" s="125"/>
      <c r="F419" s="125"/>
      <c r="J419" s="125"/>
      <c r="K419" s="125"/>
    </row>
    <row r="420">
      <c r="D420" s="125"/>
      <c r="E420" s="125"/>
      <c r="F420" s="125"/>
      <c r="J420" s="125"/>
      <c r="K420" s="125"/>
    </row>
    <row r="421">
      <c r="D421" s="125"/>
      <c r="E421" s="125"/>
      <c r="F421" s="125"/>
      <c r="J421" s="125"/>
      <c r="K421" s="125"/>
    </row>
    <row r="422">
      <c r="D422" s="125"/>
      <c r="E422" s="125"/>
      <c r="F422" s="125"/>
      <c r="J422" s="125"/>
      <c r="K422" s="125"/>
    </row>
    <row r="423">
      <c r="D423" s="125"/>
      <c r="E423" s="125"/>
      <c r="F423" s="125"/>
      <c r="J423" s="125"/>
      <c r="K423" s="125"/>
    </row>
    <row r="424">
      <c r="D424" s="125"/>
      <c r="E424" s="125"/>
      <c r="F424" s="125"/>
      <c r="J424" s="125"/>
      <c r="K424" s="125"/>
    </row>
    <row r="425">
      <c r="D425" s="125"/>
      <c r="E425" s="125"/>
      <c r="F425" s="125"/>
      <c r="J425" s="125"/>
      <c r="K425" s="125"/>
    </row>
    <row r="426">
      <c r="D426" s="125"/>
      <c r="E426" s="125"/>
      <c r="F426" s="125"/>
      <c r="J426" s="125"/>
      <c r="K426" s="125"/>
    </row>
    <row r="427">
      <c r="D427" s="125"/>
      <c r="E427" s="125"/>
      <c r="F427" s="125"/>
      <c r="J427" s="125"/>
      <c r="K427" s="125"/>
    </row>
    <row r="428">
      <c r="D428" s="125"/>
      <c r="E428" s="125"/>
      <c r="F428" s="125"/>
      <c r="J428" s="125"/>
      <c r="K428" s="125"/>
    </row>
    <row r="429">
      <c r="D429" s="125"/>
      <c r="E429" s="125"/>
      <c r="F429" s="125"/>
      <c r="J429" s="125"/>
      <c r="K429" s="125"/>
    </row>
    <row r="430">
      <c r="D430" s="125"/>
      <c r="E430" s="125"/>
      <c r="F430" s="125"/>
      <c r="J430" s="125"/>
      <c r="K430" s="125"/>
    </row>
    <row r="431">
      <c r="D431" s="125"/>
      <c r="E431" s="125"/>
      <c r="F431" s="125"/>
      <c r="J431" s="125"/>
      <c r="K431" s="125"/>
    </row>
    <row r="432">
      <c r="D432" s="125"/>
      <c r="E432" s="125"/>
      <c r="F432" s="125"/>
      <c r="J432" s="125"/>
      <c r="K432" s="125"/>
    </row>
    <row r="433">
      <c r="D433" s="125"/>
      <c r="E433" s="125"/>
      <c r="F433" s="125"/>
      <c r="J433" s="125"/>
      <c r="K433" s="125"/>
    </row>
    <row r="434">
      <c r="D434" s="125"/>
      <c r="E434" s="125"/>
      <c r="F434" s="125"/>
      <c r="J434" s="125"/>
      <c r="K434" s="125"/>
    </row>
    <row r="435">
      <c r="D435" s="125"/>
      <c r="E435" s="125"/>
      <c r="F435" s="125"/>
      <c r="J435" s="125"/>
      <c r="K435" s="125"/>
    </row>
    <row r="436">
      <c r="D436" s="125"/>
      <c r="E436" s="125"/>
      <c r="F436" s="125"/>
      <c r="J436" s="125"/>
      <c r="K436" s="125"/>
    </row>
    <row r="437">
      <c r="D437" s="125"/>
      <c r="E437" s="125"/>
      <c r="F437" s="125"/>
      <c r="J437" s="125"/>
      <c r="K437" s="125"/>
    </row>
    <row r="438">
      <c r="D438" s="125"/>
      <c r="E438" s="125"/>
      <c r="F438" s="125"/>
      <c r="J438" s="125"/>
      <c r="K438" s="125"/>
    </row>
    <row r="439">
      <c r="D439" s="125"/>
      <c r="E439" s="125"/>
      <c r="F439" s="125"/>
      <c r="J439" s="125"/>
      <c r="K439" s="125"/>
    </row>
    <row r="440">
      <c r="D440" s="125"/>
      <c r="E440" s="125"/>
      <c r="F440" s="125"/>
      <c r="J440" s="125"/>
      <c r="K440" s="125"/>
    </row>
    <row r="441">
      <c r="D441" s="125"/>
      <c r="E441" s="125"/>
      <c r="F441" s="125"/>
      <c r="J441" s="125"/>
      <c r="K441" s="125"/>
    </row>
    <row r="442">
      <c r="D442" s="125"/>
      <c r="E442" s="125"/>
      <c r="F442" s="125"/>
      <c r="J442" s="125"/>
      <c r="K442" s="125"/>
    </row>
    <row r="443">
      <c r="D443" s="125"/>
      <c r="E443" s="125"/>
      <c r="F443" s="125"/>
      <c r="J443" s="125"/>
      <c r="K443" s="125"/>
    </row>
    <row r="444">
      <c r="D444" s="125"/>
      <c r="E444" s="125"/>
      <c r="F444" s="125"/>
      <c r="J444" s="125"/>
      <c r="K444" s="125"/>
    </row>
    <row r="445">
      <c r="D445" s="125"/>
      <c r="E445" s="125"/>
      <c r="F445" s="125"/>
      <c r="J445" s="125"/>
      <c r="K445" s="125"/>
    </row>
    <row r="446">
      <c r="D446" s="125"/>
      <c r="E446" s="125"/>
      <c r="F446" s="125"/>
      <c r="J446" s="125"/>
      <c r="K446" s="125"/>
    </row>
    <row r="447">
      <c r="D447" s="125"/>
      <c r="E447" s="125"/>
      <c r="F447" s="125"/>
      <c r="J447" s="125"/>
      <c r="K447" s="125"/>
    </row>
    <row r="448">
      <c r="D448" s="125"/>
      <c r="E448" s="125"/>
      <c r="F448" s="125"/>
      <c r="J448" s="125"/>
      <c r="K448" s="125"/>
    </row>
    <row r="449">
      <c r="D449" s="125"/>
      <c r="E449" s="125"/>
      <c r="F449" s="125"/>
      <c r="J449" s="125"/>
      <c r="K449" s="125"/>
    </row>
    <row r="450">
      <c r="D450" s="125"/>
      <c r="E450" s="125"/>
      <c r="F450" s="125"/>
      <c r="J450" s="125"/>
      <c r="K450" s="125"/>
    </row>
    <row r="451">
      <c r="D451" s="125"/>
      <c r="E451" s="125"/>
      <c r="F451" s="125"/>
      <c r="J451" s="125"/>
      <c r="K451" s="125"/>
    </row>
    <row r="452">
      <c r="D452" s="125"/>
      <c r="E452" s="125"/>
      <c r="F452" s="125"/>
      <c r="J452" s="125"/>
      <c r="K452" s="125"/>
    </row>
    <row r="453">
      <c r="D453" s="125"/>
      <c r="E453" s="125"/>
      <c r="F453" s="125"/>
      <c r="J453" s="125"/>
      <c r="K453" s="125"/>
    </row>
    <row r="454">
      <c r="D454" s="125"/>
      <c r="E454" s="125"/>
      <c r="F454" s="125"/>
      <c r="J454" s="125"/>
      <c r="K454" s="125"/>
    </row>
    <row r="455">
      <c r="D455" s="125"/>
      <c r="E455" s="125"/>
      <c r="F455" s="125"/>
      <c r="J455" s="125"/>
      <c r="K455" s="125"/>
    </row>
    <row r="456">
      <c r="D456" s="125"/>
      <c r="E456" s="125"/>
      <c r="F456" s="125"/>
      <c r="J456" s="125"/>
      <c r="K456" s="125"/>
    </row>
    <row r="457">
      <c r="D457" s="125"/>
      <c r="E457" s="125"/>
      <c r="F457" s="125"/>
      <c r="J457" s="125"/>
      <c r="K457" s="125"/>
    </row>
    <row r="458">
      <c r="D458" s="125"/>
      <c r="E458" s="125"/>
      <c r="F458" s="125"/>
      <c r="J458" s="125"/>
      <c r="K458" s="125"/>
    </row>
    <row r="459">
      <c r="D459" s="125"/>
      <c r="E459" s="125"/>
      <c r="F459" s="125"/>
      <c r="J459" s="125"/>
      <c r="K459" s="125"/>
    </row>
    <row r="460">
      <c r="D460" s="125"/>
      <c r="E460" s="125"/>
      <c r="F460" s="125"/>
      <c r="J460" s="125"/>
      <c r="K460" s="125"/>
    </row>
    <row r="461">
      <c r="D461" s="125"/>
      <c r="E461" s="125"/>
      <c r="F461" s="125"/>
      <c r="J461" s="125"/>
      <c r="K461" s="125"/>
    </row>
    <row r="462">
      <c r="D462" s="125"/>
      <c r="E462" s="125"/>
      <c r="F462" s="125"/>
      <c r="J462" s="125"/>
      <c r="K462" s="125"/>
    </row>
    <row r="463">
      <c r="D463" s="125"/>
      <c r="E463" s="125"/>
      <c r="F463" s="125"/>
      <c r="J463" s="125"/>
      <c r="K463" s="125"/>
    </row>
    <row r="464">
      <c r="D464" s="125"/>
      <c r="E464" s="125"/>
      <c r="F464" s="125"/>
      <c r="J464" s="125"/>
      <c r="K464" s="125"/>
    </row>
    <row r="465">
      <c r="D465" s="125"/>
      <c r="E465" s="125"/>
      <c r="F465" s="125"/>
      <c r="J465" s="125"/>
      <c r="K465" s="125"/>
    </row>
    <row r="466">
      <c r="D466" s="125"/>
      <c r="E466" s="125"/>
      <c r="F466" s="125"/>
      <c r="J466" s="125"/>
      <c r="K466" s="125"/>
    </row>
    <row r="467">
      <c r="D467" s="125"/>
      <c r="E467" s="125"/>
      <c r="F467" s="125"/>
      <c r="J467" s="125"/>
      <c r="K467" s="125"/>
    </row>
    <row r="468">
      <c r="D468" s="125"/>
      <c r="E468" s="125"/>
      <c r="F468" s="125"/>
      <c r="J468" s="125"/>
      <c r="K468" s="125"/>
    </row>
    <row r="469">
      <c r="D469" s="125"/>
      <c r="E469" s="125"/>
      <c r="F469" s="125"/>
      <c r="J469" s="125"/>
      <c r="K469" s="125"/>
    </row>
    <row r="470">
      <c r="D470" s="125"/>
      <c r="E470" s="125"/>
      <c r="F470" s="125"/>
      <c r="J470" s="125"/>
      <c r="K470" s="125"/>
    </row>
    <row r="471">
      <c r="D471" s="125"/>
      <c r="E471" s="125"/>
      <c r="F471" s="125"/>
      <c r="J471" s="125"/>
      <c r="K471" s="125"/>
    </row>
    <row r="472">
      <c r="D472" s="125"/>
      <c r="E472" s="125"/>
      <c r="F472" s="125"/>
      <c r="J472" s="125"/>
      <c r="K472" s="125"/>
    </row>
    <row r="473">
      <c r="D473" s="125"/>
      <c r="E473" s="125"/>
      <c r="F473" s="125"/>
      <c r="J473" s="125"/>
      <c r="K473" s="125"/>
    </row>
    <row r="474">
      <c r="D474" s="125"/>
      <c r="E474" s="125"/>
      <c r="F474" s="125"/>
      <c r="J474" s="125"/>
      <c r="K474" s="125"/>
    </row>
    <row r="475">
      <c r="D475" s="125"/>
      <c r="E475" s="125"/>
      <c r="F475" s="125"/>
      <c r="J475" s="125"/>
      <c r="K475" s="125"/>
    </row>
    <row r="476">
      <c r="D476" s="125"/>
      <c r="E476" s="125"/>
      <c r="F476" s="125"/>
      <c r="J476" s="125"/>
      <c r="K476" s="125"/>
    </row>
    <row r="477">
      <c r="D477" s="125"/>
      <c r="E477" s="125"/>
      <c r="F477" s="125"/>
      <c r="J477" s="125"/>
      <c r="K477" s="125"/>
    </row>
    <row r="478">
      <c r="D478" s="125"/>
      <c r="E478" s="125"/>
      <c r="F478" s="125"/>
      <c r="J478" s="125"/>
      <c r="K478" s="125"/>
    </row>
    <row r="479">
      <c r="D479" s="125"/>
      <c r="E479" s="125"/>
      <c r="F479" s="125"/>
      <c r="J479" s="125"/>
      <c r="K479" s="125"/>
    </row>
    <row r="480">
      <c r="D480" s="125"/>
      <c r="E480" s="125"/>
      <c r="F480" s="125"/>
      <c r="J480" s="125"/>
      <c r="K480" s="125"/>
    </row>
    <row r="481">
      <c r="D481" s="125"/>
      <c r="E481" s="125"/>
      <c r="F481" s="125"/>
      <c r="J481" s="125"/>
      <c r="K481" s="125"/>
    </row>
    <row r="482">
      <c r="D482" s="125"/>
      <c r="E482" s="125"/>
      <c r="F482" s="125"/>
      <c r="J482" s="125"/>
      <c r="K482" s="125"/>
    </row>
    <row r="483">
      <c r="D483" s="125"/>
      <c r="E483" s="125"/>
      <c r="F483" s="125"/>
      <c r="J483" s="125"/>
      <c r="K483" s="125"/>
    </row>
    <row r="484">
      <c r="D484" s="125"/>
      <c r="E484" s="125"/>
      <c r="F484" s="125"/>
      <c r="J484" s="125"/>
      <c r="K484" s="125"/>
    </row>
    <row r="485">
      <c r="D485" s="125"/>
      <c r="E485" s="125"/>
      <c r="F485" s="125"/>
      <c r="J485" s="125"/>
      <c r="K485" s="125"/>
    </row>
    <row r="486">
      <c r="D486" s="125"/>
      <c r="E486" s="125"/>
      <c r="F486" s="125"/>
      <c r="J486" s="125"/>
      <c r="K486" s="125"/>
    </row>
    <row r="487">
      <c r="D487" s="125"/>
      <c r="E487" s="125"/>
      <c r="F487" s="125"/>
      <c r="J487" s="125"/>
      <c r="K487" s="125"/>
    </row>
    <row r="488">
      <c r="D488" s="125"/>
      <c r="E488" s="125"/>
      <c r="F488" s="125"/>
      <c r="J488" s="125"/>
      <c r="K488" s="125"/>
    </row>
    <row r="489">
      <c r="D489" s="125"/>
      <c r="E489" s="125"/>
      <c r="F489" s="125"/>
      <c r="J489" s="125"/>
      <c r="K489" s="125"/>
    </row>
    <row r="490">
      <c r="D490" s="125"/>
      <c r="E490" s="125"/>
      <c r="F490" s="125"/>
      <c r="J490" s="125"/>
      <c r="K490" s="125"/>
    </row>
    <row r="491">
      <c r="D491" s="125"/>
      <c r="E491" s="125"/>
      <c r="F491" s="125"/>
      <c r="J491" s="125"/>
      <c r="K491" s="125"/>
    </row>
    <row r="492">
      <c r="D492" s="125"/>
      <c r="E492" s="125"/>
      <c r="F492" s="125"/>
      <c r="J492" s="125"/>
      <c r="K492" s="125"/>
    </row>
    <row r="493">
      <c r="D493" s="125"/>
      <c r="E493" s="125"/>
      <c r="F493" s="125"/>
      <c r="J493" s="125"/>
      <c r="K493" s="125"/>
    </row>
    <row r="494">
      <c r="D494" s="125"/>
      <c r="E494" s="125"/>
      <c r="F494" s="125"/>
      <c r="J494" s="125"/>
      <c r="K494" s="125"/>
    </row>
    <row r="495">
      <c r="D495" s="125"/>
      <c r="E495" s="125"/>
      <c r="F495" s="125"/>
      <c r="J495" s="125"/>
      <c r="K495" s="125"/>
    </row>
    <row r="496">
      <c r="D496" s="125"/>
      <c r="E496" s="125"/>
      <c r="F496" s="125"/>
      <c r="J496" s="125"/>
      <c r="K496" s="125"/>
    </row>
    <row r="497">
      <c r="D497" s="125"/>
      <c r="E497" s="125"/>
      <c r="F497" s="125"/>
      <c r="J497" s="125"/>
      <c r="K497" s="125"/>
    </row>
    <row r="498">
      <c r="D498" s="125"/>
      <c r="E498" s="125"/>
      <c r="F498" s="125"/>
      <c r="J498" s="125"/>
      <c r="K498" s="125"/>
    </row>
    <row r="499">
      <c r="D499" s="125"/>
      <c r="E499" s="125"/>
      <c r="F499" s="125"/>
      <c r="J499" s="125"/>
      <c r="K499" s="125"/>
    </row>
    <row r="500">
      <c r="D500" s="125"/>
      <c r="E500" s="125"/>
      <c r="F500" s="125"/>
      <c r="J500" s="125"/>
      <c r="K500" s="125"/>
    </row>
    <row r="501">
      <c r="D501" s="125"/>
      <c r="E501" s="125"/>
      <c r="F501" s="125"/>
      <c r="J501" s="125"/>
      <c r="K501" s="125"/>
    </row>
    <row r="502">
      <c r="D502" s="125"/>
      <c r="E502" s="125"/>
      <c r="F502" s="125"/>
      <c r="J502" s="125"/>
      <c r="K502" s="125"/>
    </row>
    <row r="503">
      <c r="D503" s="125"/>
      <c r="E503" s="125"/>
      <c r="F503" s="125"/>
      <c r="J503" s="125"/>
      <c r="K503" s="125"/>
    </row>
    <row r="504">
      <c r="D504" s="125"/>
      <c r="E504" s="125"/>
      <c r="F504" s="125"/>
      <c r="J504" s="125"/>
      <c r="K504" s="125"/>
    </row>
    <row r="505">
      <c r="D505" s="125"/>
      <c r="E505" s="125"/>
      <c r="F505" s="125"/>
      <c r="J505" s="125"/>
      <c r="K505" s="125"/>
    </row>
    <row r="506">
      <c r="D506" s="125"/>
      <c r="E506" s="125"/>
      <c r="F506" s="125"/>
      <c r="J506" s="125"/>
      <c r="K506" s="125"/>
    </row>
    <row r="507">
      <c r="D507" s="125"/>
      <c r="E507" s="125"/>
      <c r="F507" s="125"/>
      <c r="J507" s="125"/>
      <c r="K507" s="125"/>
    </row>
    <row r="508">
      <c r="D508" s="125"/>
      <c r="E508" s="125"/>
      <c r="F508" s="125"/>
      <c r="J508" s="125"/>
      <c r="K508" s="125"/>
    </row>
    <row r="509">
      <c r="D509" s="125"/>
      <c r="E509" s="125"/>
      <c r="F509" s="125"/>
      <c r="J509" s="125"/>
      <c r="K509" s="125"/>
    </row>
    <row r="510">
      <c r="D510" s="125"/>
      <c r="E510" s="125"/>
      <c r="F510" s="125"/>
      <c r="J510" s="125"/>
      <c r="K510" s="125"/>
    </row>
    <row r="511">
      <c r="D511" s="125"/>
      <c r="E511" s="125"/>
      <c r="F511" s="125"/>
      <c r="J511" s="125"/>
      <c r="K511" s="125"/>
    </row>
    <row r="512">
      <c r="D512" s="125"/>
      <c r="E512" s="125"/>
      <c r="F512" s="125"/>
      <c r="J512" s="125"/>
      <c r="K512" s="125"/>
    </row>
    <row r="513">
      <c r="D513" s="125"/>
      <c r="E513" s="125"/>
      <c r="F513" s="125"/>
      <c r="J513" s="125"/>
      <c r="K513" s="125"/>
    </row>
    <row r="514">
      <c r="D514" s="125"/>
      <c r="E514" s="125"/>
      <c r="F514" s="125"/>
      <c r="J514" s="125"/>
      <c r="K514" s="125"/>
    </row>
    <row r="515">
      <c r="D515" s="125"/>
      <c r="E515" s="125"/>
      <c r="F515" s="125"/>
      <c r="J515" s="125"/>
      <c r="K515" s="125"/>
    </row>
    <row r="516">
      <c r="D516" s="125"/>
      <c r="E516" s="125"/>
      <c r="F516" s="125"/>
      <c r="J516" s="125"/>
      <c r="K516" s="125"/>
    </row>
    <row r="517">
      <c r="D517" s="125"/>
      <c r="E517" s="125"/>
      <c r="F517" s="125"/>
      <c r="J517" s="125"/>
      <c r="K517" s="125"/>
    </row>
    <row r="518">
      <c r="D518" s="125"/>
      <c r="E518" s="125"/>
      <c r="F518" s="125"/>
      <c r="J518" s="125"/>
      <c r="K518" s="125"/>
    </row>
    <row r="519">
      <c r="D519" s="125"/>
      <c r="E519" s="125"/>
      <c r="F519" s="125"/>
      <c r="J519" s="125"/>
      <c r="K519" s="125"/>
    </row>
    <row r="520">
      <c r="D520" s="125"/>
      <c r="E520" s="125"/>
      <c r="F520" s="125"/>
      <c r="J520" s="125"/>
      <c r="K520" s="125"/>
    </row>
    <row r="521">
      <c r="D521" s="125"/>
      <c r="E521" s="125"/>
      <c r="F521" s="125"/>
      <c r="J521" s="125"/>
      <c r="K521" s="125"/>
    </row>
    <row r="522">
      <c r="D522" s="125"/>
      <c r="E522" s="125"/>
      <c r="F522" s="125"/>
      <c r="J522" s="125"/>
      <c r="K522" s="125"/>
    </row>
    <row r="523">
      <c r="D523" s="125"/>
      <c r="E523" s="125"/>
      <c r="F523" s="125"/>
      <c r="J523" s="125"/>
      <c r="K523" s="125"/>
    </row>
    <row r="524">
      <c r="D524" s="125"/>
      <c r="E524" s="125"/>
      <c r="F524" s="125"/>
      <c r="J524" s="125"/>
      <c r="K524" s="125"/>
    </row>
    <row r="525">
      <c r="D525" s="125"/>
      <c r="E525" s="125"/>
      <c r="F525" s="125"/>
      <c r="J525" s="125"/>
      <c r="K525" s="125"/>
    </row>
    <row r="526">
      <c r="D526" s="125"/>
      <c r="E526" s="125"/>
      <c r="F526" s="125"/>
      <c r="J526" s="125"/>
      <c r="K526" s="125"/>
    </row>
    <row r="527">
      <c r="D527" s="125"/>
      <c r="E527" s="125"/>
      <c r="F527" s="125"/>
      <c r="J527" s="125"/>
      <c r="K527" s="125"/>
    </row>
    <row r="528">
      <c r="D528" s="125"/>
      <c r="E528" s="125"/>
      <c r="F528" s="125"/>
      <c r="J528" s="125"/>
      <c r="K528" s="125"/>
    </row>
    <row r="529">
      <c r="D529" s="125"/>
      <c r="E529" s="125"/>
      <c r="F529" s="125"/>
      <c r="J529" s="125"/>
      <c r="K529" s="125"/>
    </row>
    <row r="530">
      <c r="D530" s="125"/>
      <c r="E530" s="125"/>
      <c r="F530" s="125"/>
      <c r="J530" s="125"/>
      <c r="K530" s="125"/>
    </row>
    <row r="531">
      <c r="D531" s="125"/>
      <c r="E531" s="125"/>
      <c r="F531" s="125"/>
      <c r="J531" s="125"/>
      <c r="K531" s="125"/>
    </row>
    <row r="532">
      <c r="D532" s="125"/>
      <c r="E532" s="125"/>
      <c r="F532" s="125"/>
      <c r="J532" s="125"/>
      <c r="K532" s="125"/>
    </row>
    <row r="533">
      <c r="D533" s="125"/>
      <c r="E533" s="125"/>
      <c r="F533" s="125"/>
      <c r="J533" s="125"/>
      <c r="K533" s="125"/>
    </row>
    <row r="534">
      <c r="D534" s="125"/>
      <c r="E534" s="125"/>
      <c r="F534" s="125"/>
      <c r="J534" s="125"/>
      <c r="K534" s="125"/>
    </row>
    <row r="535">
      <c r="D535" s="125"/>
      <c r="E535" s="125"/>
      <c r="F535" s="125"/>
      <c r="J535" s="125"/>
      <c r="K535" s="125"/>
    </row>
    <row r="536">
      <c r="D536" s="125"/>
      <c r="E536" s="125"/>
      <c r="F536" s="125"/>
      <c r="J536" s="125"/>
      <c r="K536" s="125"/>
    </row>
    <row r="537">
      <c r="D537" s="125"/>
      <c r="E537" s="125"/>
      <c r="F537" s="125"/>
      <c r="J537" s="125"/>
      <c r="K537" s="125"/>
    </row>
    <row r="538">
      <c r="D538" s="125"/>
      <c r="E538" s="125"/>
      <c r="F538" s="125"/>
      <c r="J538" s="125"/>
      <c r="K538" s="125"/>
    </row>
    <row r="539">
      <c r="D539" s="125"/>
      <c r="E539" s="125"/>
      <c r="F539" s="125"/>
      <c r="J539" s="125"/>
      <c r="K539" s="125"/>
    </row>
    <row r="540">
      <c r="D540" s="125"/>
      <c r="E540" s="125"/>
      <c r="F540" s="125"/>
      <c r="J540" s="125"/>
      <c r="K540" s="125"/>
    </row>
    <row r="541">
      <c r="D541" s="125"/>
      <c r="E541" s="125"/>
      <c r="F541" s="125"/>
      <c r="J541" s="125"/>
      <c r="K541" s="125"/>
    </row>
    <row r="542">
      <c r="D542" s="125"/>
      <c r="E542" s="125"/>
      <c r="F542" s="125"/>
      <c r="J542" s="125"/>
      <c r="K542" s="125"/>
    </row>
    <row r="543">
      <c r="D543" s="125"/>
      <c r="E543" s="125"/>
      <c r="F543" s="125"/>
      <c r="J543" s="125"/>
      <c r="K543" s="125"/>
    </row>
    <row r="544">
      <c r="D544" s="125"/>
      <c r="E544" s="125"/>
      <c r="F544" s="125"/>
      <c r="J544" s="125"/>
      <c r="K544" s="125"/>
    </row>
    <row r="545">
      <c r="D545" s="125"/>
      <c r="E545" s="125"/>
      <c r="F545" s="125"/>
      <c r="J545" s="125"/>
      <c r="K545" s="125"/>
    </row>
    <row r="546">
      <c r="D546" s="125"/>
      <c r="E546" s="125"/>
      <c r="F546" s="125"/>
      <c r="J546" s="125"/>
      <c r="K546" s="125"/>
    </row>
    <row r="547">
      <c r="D547" s="125"/>
      <c r="E547" s="125"/>
      <c r="F547" s="125"/>
      <c r="J547" s="125"/>
      <c r="K547" s="125"/>
    </row>
    <row r="548">
      <c r="D548" s="125"/>
      <c r="E548" s="125"/>
      <c r="F548" s="125"/>
      <c r="J548" s="125"/>
      <c r="K548" s="125"/>
    </row>
    <row r="549">
      <c r="D549" s="125"/>
      <c r="E549" s="125"/>
      <c r="F549" s="125"/>
      <c r="J549" s="125"/>
      <c r="K549" s="125"/>
    </row>
    <row r="550">
      <c r="D550" s="125"/>
      <c r="E550" s="125"/>
      <c r="F550" s="125"/>
      <c r="J550" s="125"/>
      <c r="K550" s="125"/>
    </row>
    <row r="551">
      <c r="D551" s="125"/>
      <c r="E551" s="125"/>
      <c r="F551" s="125"/>
      <c r="J551" s="125"/>
      <c r="K551" s="125"/>
    </row>
    <row r="552">
      <c r="D552" s="125"/>
      <c r="E552" s="125"/>
      <c r="F552" s="125"/>
      <c r="J552" s="125"/>
      <c r="K552" s="125"/>
    </row>
    <row r="553">
      <c r="D553" s="125"/>
      <c r="E553" s="125"/>
      <c r="F553" s="125"/>
      <c r="J553" s="125"/>
      <c r="K553" s="125"/>
    </row>
    <row r="554">
      <c r="D554" s="125"/>
      <c r="E554" s="125"/>
      <c r="F554" s="125"/>
      <c r="J554" s="125"/>
      <c r="K554" s="125"/>
    </row>
    <row r="555">
      <c r="D555" s="125"/>
      <c r="E555" s="125"/>
      <c r="F555" s="125"/>
      <c r="J555" s="125"/>
      <c r="K555" s="125"/>
    </row>
    <row r="556">
      <c r="D556" s="125"/>
      <c r="E556" s="125"/>
      <c r="F556" s="125"/>
      <c r="J556" s="125"/>
      <c r="K556" s="125"/>
    </row>
    <row r="557">
      <c r="D557" s="125"/>
      <c r="E557" s="125"/>
      <c r="F557" s="125"/>
      <c r="J557" s="125"/>
      <c r="K557" s="125"/>
    </row>
    <row r="558">
      <c r="D558" s="125"/>
      <c r="E558" s="125"/>
      <c r="F558" s="125"/>
      <c r="J558" s="125"/>
      <c r="K558" s="125"/>
    </row>
    <row r="559">
      <c r="D559" s="125"/>
      <c r="E559" s="125"/>
      <c r="F559" s="125"/>
      <c r="J559" s="125"/>
      <c r="K559" s="125"/>
    </row>
    <row r="560">
      <c r="D560" s="125"/>
      <c r="E560" s="125"/>
      <c r="F560" s="125"/>
      <c r="J560" s="125"/>
      <c r="K560" s="125"/>
    </row>
    <row r="561">
      <c r="D561" s="125"/>
      <c r="E561" s="125"/>
      <c r="F561" s="125"/>
      <c r="J561" s="125"/>
      <c r="K561" s="125"/>
    </row>
    <row r="562">
      <c r="D562" s="125"/>
      <c r="E562" s="125"/>
      <c r="F562" s="125"/>
      <c r="J562" s="125"/>
      <c r="K562" s="125"/>
    </row>
    <row r="563">
      <c r="D563" s="125"/>
      <c r="E563" s="125"/>
      <c r="F563" s="125"/>
      <c r="J563" s="125"/>
      <c r="K563" s="125"/>
    </row>
    <row r="564">
      <c r="D564" s="125"/>
      <c r="E564" s="125"/>
      <c r="F564" s="125"/>
      <c r="J564" s="125"/>
      <c r="K564" s="125"/>
    </row>
    <row r="565">
      <c r="D565" s="125"/>
      <c r="E565" s="125"/>
      <c r="F565" s="125"/>
      <c r="J565" s="125"/>
      <c r="K565" s="125"/>
    </row>
    <row r="566">
      <c r="D566" s="125"/>
      <c r="E566" s="125"/>
      <c r="F566" s="125"/>
      <c r="J566" s="125"/>
      <c r="K566" s="125"/>
    </row>
    <row r="567">
      <c r="D567" s="125"/>
      <c r="E567" s="125"/>
      <c r="F567" s="125"/>
      <c r="J567" s="125"/>
      <c r="K567" s="125"/>
    </row>
    <row r="568">
      <c r="D568" s="125"/>
      <c r="E568" s="125"/>
      <c r="F568" s="125"/>
      <c r="J568" s="125"/>
      <c r="K568" s="125"/>
    </row>
    <row r="569">
      <c r="D569" s="125"/>
      <c r="E569" s="125"/>
      <c r="F569" s="125"/>
      <c r="J569" s="125"/>
      <c r="K569" s="125"/>
    </row>
    <row r="570">
      <c r="D570" s="125"/>
      <c r="E570" s="125"/>
      <c r="F570" s="125"/>
      <c r="J570" s="125"/>
      <c r="K570" s="125"/>
    </row>
    <row r="571">
      <c r="D571" s="125"/>
      <c r="E571" s="125"/>
      <c r="F571" s="125"/>
      <c r="J571" s="125"/>
      <c r="K571" s="125"/>
    </row>
    <row r="572">
      <c r="D572" s="125"/>
      <c r="E572" s="125"/>
      <c r="F572" s="125"/>
      <c r="J572" s="125"/>
      <c r="K572" s="125"/>
    </row>
    <row r="573">
      <c r="D573" s="125"/>
      <c r="E573" s="125"/>
      <c r="F573" s="125"/>
      <c r="J573" s="125"/>
      <c r="K573" s="125"/>
    </row>
    <row r="574">
      <c r="D574" s="125"/>
      <c r="E574" s="125"/>
      <c r="F574" s="125"/>
      <c r="J574" s="125"/>
      <c r="K574" s="125"/>
    </row>
    <row r="575">
      <c r="D575" s="125"/>
      <c r="E575" s="125"/>
      <c r="F575" s="125"/>
      <c r="J575" s="125"/>
      <c r="K575" s="125"/>
    </row>
    <row r="576">
      <c r="D576" s="125"/>
      <c r="E576" s="125"/>
      <c r="F576" s="125"/>
      <c r="J576" s="125"/>
      <c r="K576" s="125"/>
    </row>
    <row r="577">
      <c r="D577" s="125"/>
      <c r="E577" s="125"/>
      <c r="F577" s="125"/>
      <c r="J577" s="125"/>
      <c r="K577" s="125"/>
    </row>
    <row r="578">
      <c r="D578" s="125"/>
      <c r="E578" s="125"/>
      <c r="F578" s="125"/>
      <c r="J578" s="125"/>
      <c r="K578" s="125"/>
    </row>
    <row r="579">
      <c r="D579" s="125"/>
      <c r="E579" s="125"/>
      <c r="F579" s="125"/>
      <c r="J579" s="125"/>
      <c r="K579" s="125"/>
    </row>
    <row r="580">
      <c r="D580" s="125"/>
      <c r="E580" s="125"/>
      <c r="F580" s="125"/>
      <c r="J580" s="125"/>
      <c r="K580" s="125"/>
    </row>
    <row r="581">
      <c r="D581" s="125"/>
      <c r="E581" s="125"/>
      <c r="F581" s="125"/>
      <c r="J581" s="125"/>
      <c r="K581" s="125"/>
    </row>
    <row r="582">
      <c r="D582" s="125"/>
      <c r="E582" s="125"/>
      <c r="F582" s="125"/>
      <c r="J582" s="125"/>
      <c r="K582" s="125"/>
    </row>
    <row r="583">
      <c r="D583" s="125"/>
      <c r="E583" s="125"/>
      <c r="F583" s="125"/>
      <c r="J583" s="125"/>
      <c r="K583" s="125"/>
    </row>
    <row r="584">
      <c r="D584" s="125"/>
      <c r="E584" s="125"/>
      <c r="F584" s="125"/>
      <c r="J584" s="125"/>
      <c r="K584" s="125"/>
    </row>
    <row r="585">
      <c r="D585" s="125"/>
      <c r="E585" s="125"/>
      <c r="F585" s="125"/>
      <c r="J585" s="125"/>
      <c r="K585" s="125"/>
    </row>
    <row r="586">
      <c r="D586" s="125"/>
      <c r="E586" s="125"/>
      <c r="F586" s="125"/>
      <c r="J586" s="125"/>
      <c r="K586" s="125"/>
    </row>
    <row r="587">
      <c r="D587" s="125"/>
      <c r="E587" s="125"/>
      <c r="F587" s="125"/>
      <c r="J587" s="125"/>
      <c r="K587" s="125"/>
    </row>
    <row r="588">
      <c r="D588" s="125"/>
      <c r="E588" s="125"/>
      <c r="F588" s="125"/>
      <c r="J588" s="125"/>
      <c r="K588" s="125"/>
    </row>
    <row r="589">
      <c r="D589" s="125"/>
      <c r="E589" s="125"/>
      <c r="F589" s="125"/>
      <c r="J589" s="125"/>
      <c r="K589" s="125"/>
    </row>
    <row r="590">
      <c r="D590" s="125"/>
      <c r="E590" s="125"/>
      <c r="F590" s="125"/>
      <c r="J590" s="125"/>
      <c r="K590" s="125"/>
    </row>
    <row r="591">
      <c r="D591" s="125"/>
      <c r="E591" s="125"/>
      <c r="F591" s="125"/>
      <c r="J591" s="125"/>
      <c r="K591" s="125"/>
    </row>
    <row r="592">
      <c r="D592" s="125"/>
      <c r="E592" s="125"/>
      <c r="F592" s="125"/>
      <c r="J592" s="125"/>
      <c r="K592" s="125"/>
    </row>
    <row r="593">
      <c r="D593" s="125"/>
      <c r="E593" s="125"/>
      <c r="F593" s="125"/>
      <c r="J593" s="125"/>
      <c r="K593" s="125"/>
    </row>
    <row r="594">
      <c r="D594" s="125"/>
      <c r="E594" s="125"/>
      <c r="F594" s="125"/>
      <c r="J594" s="125"/>
      <c r="K594" s="125"/>
    </row>
    <row r="595">
      <c r="D595" s="125"/>
      <c r="E595" s="125"/>
      <c r="F595" s="125"/>
      <c r="J595" s="125"/>
      <c r="K595" s="125"/>
    </row>
    <row r="596">
      <c r="D596" s="125"/>
      <c r="E596" s="125"/>
      <c r="F596" s="125"/>
      <c r="J596" s="125"/>
      <c r="K596" s="125"/>
    </row>
    <row r="597">
      <c r="D597" s="125"/>
      <c r="E597" s="125"/>
      <c r="F597" s="125"/>
      <c r="J597" s="125"/>
      <c r="K597" s="125"/>
    </row>
    <row r="598">
      <c r="D598" s="125"/>
      <c r="E598" s="125"/>
      <c r="F598" s="125"/>
      <c r="J598" s="125"/>
      <c r="K598" s="125"/>
    </row>
    <row r="599">
      <c r="D599" s="125"/>
      <c r="E599" s="125"/>
      <c r="F599" s="125"/>
      <c r="J599" s="125"/>
      <c r="K599" s="125"/>
    </row>
    <row r="600">
      <c r="D600" s="125"/>
      <c r="E600" s="125"/>
      <c r="F600" s="125"/>
      <c r="J600" s="125"/>
      <c r="K600" s="125"/>
    </row>
    <row r="601">
      <c r="D601" s="125"/>
      <c r="E601" s="125"/>
      <c r="F601" s="125"/>
      <c r="J601" s="125"/>
      <c r="K601" s="125"/>
    </row>
    <row r="602">
      <c r="D602" s="125"/>
      <c r="E602" s="125"/>
      <c r="F602" s="125"/>
      <c r="J602" s="125"/>
      <c r="K602" s="125"/>
    </row>
    <row r="603">
      <c r="D603" s="125"/>
      <c r="E603" s="125"/>
      <c r="F603" s="125"/>
      <c r="J603" s="125"/>
      <c r="K603" s="125"/>
    </row>
    <row r="604">
      <c r="D604" s="125"/>
      <c r="E604" s="125"/>
      <c r="F604" s="125"/>
      <c r="J604" s="125"/>
      <c r="K604" s="125"/>
    </row>
    <row r="605">
      <c r="D605" s="125"/>
      <c r="E605" s="125"/>
      <c r="F605" s="125"/>
      <c r="J605" s="125"/>
      <c r="K605" s="125"/>
    </row>
    <row r="606">
      <c r="D606" s="125"/>
      <c r="E606" s="125"/>
      <c r="F606" s="125"/>
      <c r="J606" s="125"/>
      <c r="K606" s="125"/>
    </row>
    <row r="607">
      <c r="D607" s="125"/>
      <c r="E607" s="125"/>
      <c r="F607" s="125"/>
      <c r="J607" s="125"/>
      <c r="K607" s="125"/>
    </row>
    <row r="608">
      <c r="D608" s="125"/>
      <c r="E608" s="125"/>
      <c r="F608" s="125"/>
      <c r="J608" s="125"/>
      <c r="K608" s="125"/>
    </row>
    <row r="609">
      <c r="D609" s="125"/>
      <c r="E609" s="125"/>
      <c r="F609" s="125"/>
      <c r="J609" s="125"/>
      <c r="K609" s="125"/>
    </row>
    <row r="610">
      <c r="D610" s="125"/>
      <c r="E610" s="125"/>
      <c r="F610" s="125"/>
      <c r="J610" s="125"/>
      <c r="K610" s="125"/>
    </row>
    <row r="611">
      <c r="D611" s="125"/>
      <c r="E611" s="125"/>
      <c r="F611" s="125"/>
      <c r="J611" s="125"/>
      <c r="K611" s="125"/>
    </row>
    <row r="612">
      <c r="D612" s="125"/>
      <c r="E612" s="125"/>
      <c r="F612" s="125"/>
      <c r="J612" s="125"/>
      <c r="K612" s="125"/>
    </row>
    <row r="613">
      <c r="D613" s="125"/>
      <c r="E613" s="125"/>
      <c r="F613" s="125"/>
      <c r="J613" s="125"/>
      <c r="K613" s="125"/>
    </row>
    <row r="614">
      <c r="D614" s="125"/>
      <c r="E614" s="125"/>
      <c r="F614" s="125"/>
      <c r="J614" s="125"/>
      <c r="K614" s="125"/>
    </row>
    <row r="615">
      <c r="D615" s="125"/>
      <c r="E615" s="125"/>
      <c r="F615" s="125"/>
      <c r="J615" s="125"/>
      <c r="K615" s="125"/>
    </row>
    <row r="616">
      <c r="D616" s="125"/>
      <c r="E616" s="125"/>
      <c r="F616" s="125"/>
      <c r="J616" s="125"/>
      <c r="K616" s="125"/>
    </row>
    <row r="617">
      <c r="D617" s="125"/>
      <c r="E617" s="125"/>
      <c r="F617" s="125"/>
      <c r="J617" s="125"/>
      <c r="K617" s="125"/>
    </row>
    <row r="618">
      <c r="D618" s="125"/>
      <c r="E618" s="125"/>
      <c r="F618" s="125"/>
      <c r="J618" s="125"/>
      <c r="K618" s="125"/>
    </row>
    <row r="619">
      <c r="D619" s="125"/>
      <c r="E619" s="125"/>
      <c r="F619" s="125"/>
      <c r="J619" s="125"/>
      <c r="K619" s="125"/>
    </row>
    <row r="620">
      <c r="D620" s="125"/>
      <c r="E620" s="125"/>
      <c r="F620" s="125"/>
      <c r="J620" s="125"/>
      <c r="K620" s="125"/>
    </row>
    <row r="621">
      <c r="D621" s="125"/>
      <c r="E621" s="125"/>
      <c r="F621" s="125"/>
      <c r="J621" s="125"/>
      <c r="K621" s="125"/>
    </row>
    <row r="622">
      <c r="D622" s="125"/>
      <c r="E622" s="125"/>
      <c r="F622" s="125"/>
      <c r="J622" s="125"/>
      <c r="K622" s="125"/>
    </row>
    <row r="623">
      <c r="D623" s="125"/>
      <c r="E623" s="125"/>
      <c r="F623" s="125"/>
      <c r="J623" s="125"/>
      <c r="K623" s="125"/>
    </row>
    <row r="624">
      <c r="D624" s="125"/>
      <c r="E624" s="125"/>
      <c r="F624" s="125"/>
      <c r="J624" s="125"/>
      <c r="K624" s="125"/>
    </row>
    <row r="625">
      <c r="D625" s="125"/>
      <c r="E625" s="125"/>
      <c r="F625" s="125"/>
      <c r="J625" s="125"/>
      <c r="K625" s="125"/>
    </row>
    <row r="626">
      <c r="D626" s="125"/>
      <c r="E626" s="125"/>
      <c r="F626" s="125"/>
      <c r="J626" s="125"/>
      <c r="K626" s="125"/>
    </row>
    <row r="627">
      <c r="D627" s="125"/>
      <c r="E627" s="125"/>
      <c r="F627" s="125"/>
      <c r="J627" s="125"/>
      <c r="K627" s="125"/>
    </row>
    <row r="628">
      <c r="D628" s="125"/>
      <c r="E628" s="125"/>
      <c r="F628" s="125"/>
      <c r="J628" s="125"/>
      <c r="K628" s="125"/>
    </row>
    <row r="629">
      <c r="D629" s="125"/>
      <c r="E629" s="125"/>
      <c r="F629" s="125"/>
      <c r="J629" s="125"/>
      <c r="K629" s="125"/>
    </row>
    <row r="630">
      <c r="D630" s="125"/>
      <c r="E630" s="125"/>
      <c r="F630" s="125"/>
      <c r="J630" s="125"/>
      <c r="K630" s="125"/>
    </row>
    <row r="631">
      <c r="D631" s="125"/>
      <c r="E631" s="125"/>
      <c r="F631" s="125"/>
      <c r="J631" s="125"/>
      <c r="K631" s="125"/>
    </row>
    <row r="632">
      <c r="D632" s="125"/>
      <c r="E632" s="125"/>
      <c r="F632" s="125"/>
      <c r="J632" s="125"/>
      <c r="K632" s="125"/>
    </row>
    <row r="633">
      <c r="D633" s="125"/>
      <c r="E633" s="125"/>
      <c r="F633" s="125"/>
      <c r="J633" s="125"/>
      <c r="K633" s="125"/>
    </row>
    <row r="634">
      <c r="D634" s="125"/>
      <c r="E634" s="125"/>
      <c r="F634" s="125"/>
      <c r="J634" s="125"/>
      <c r="K634" s="125"/>
    </row>
    <row r="635">
      <c r="D635" s="125"/>
      <c r="E635" s="125"/>
      <c r="F635" s="125"/>
      <c r="J635" s="125"/>
      <c r="K635" s="125"/>
    </row>
    <row r="636">
      <c r="D636" s="125"/>
      <c r="E636" s="125"/>
      <c r="F636" s="125"/>
      <c r="J636" s="125"/>
      <c r="K636" s="125"/>
    </row>
    <row r="637">
      <c r="D637" s="125"/>
      <c r="E637" s="125"/>
      <c r="F637" s="125"/>
      <c r="J637" s="125"/>
      <c r="K637" s="125"/>
    </row>
    <row r="638">
      <c r="D638" s="125"/>
      <c r="E638" s="125"/>
      <c r="F638" s="125"/>
      <c r="J638" s="125"/>
      <c r="K638" s="125"/>
    </row>
    <row r="639">
      <c r="D639" s="125"/>
      <c r="E639" s="125"/>
      <c r="F639" s="125"/>
      <c r="J639" s="125"/>
      <c r="K639" s="125"/>
    </row>
    <row r="640">
      <c r="D640" s="125"/>
      <c r="E640" s="125"/>
      <c r="F640" s="125"/>
      <c r="J640" s="125"/>
      <c r="K640" s="125"/>
    </row>
    <row r="641">
      <c r="D641" s="125"/>
      <c r="E641" s="125"/>
      <c r="F641" s="125"/>
      <c r="J641" s="125"/>
      <c r="K641" s="125"/>
    </row>
    <row r="642">
      <c r="D642" s="125"/>
      <c r="E642" s="125"/>
      <c r="F642" s="125"/>
      <c r="J642" s="125"/>
      <c r="K642" s="125"/>
    </row>
    <row r="643">
      <c r="D643" s="125"/>
      <c r="E643" s="125"/>
      <c r="F643" s="125"/>
      <c r="J643" s="125"/>
      <c r="K643" s="125"/>
    </row>
    <row r="644">
      <c r="D644" s="125"/>
      <c r="E644" s="125"/>
      <c r="F644" s="125"/>
      <c r="J644" s="125"/>
      <c r="K644" s="125"/>
    </row>
    <row r="645">
      <c r="D645" s="125"/>
      <c r="E645" s="125"/>
      <c r="F645" s="125"/>
      <c r="J645" s="125"/>
      <c r="K645" s="125"/>
    </row>
    <row r="646">
      <c r="D646" s="125"/>
      <c r="E646" s="125"/>
      <c r="F646" s="125"/>
      <c r="J646" s="125"/>
      <c r="K646" s="125"/>
    </row>
    <row r="647">
      <c r="D647" s="125"/>
      <c r="E647" s="125"/>
      <c r="F647" s="125"/>
      <c r="J647" s="125"/>
      <c r="K647" s="125"/>
    </row>
    <row r="648">
      <c r="D648" s="125"/>
      <c r="E648" s="125"/>
      <c r="F648" s="125"/>
      <c r="J648" s="125"/>
      <c r="K648" s="125"/>
    </row>
    <row r="649">
      <c r="D649" s="125"/>
      <c r="E649" s="125"/>
      <c r="F649" s="125"/>
      <c r="J649" s="125"/>
      <c r="K649" s="125"/>
    </row>
    <row r="650">
      <c r="D650" s="125"/>
      <c r="E650" s="125"/>
      <c r="F650" s="125"/>
      <c r="J650" s="125"/>
      <c r="K650" s="125"/>
    </row>
    <row r="651">
      <c r="D651" s="125"/>
      <c r="E651" s="125"/>
      <c r="F651" s="125"/>
      <c r="J651" s="125"/>
      <c r="K651" s="125"/>
    </row>
    <row r="652">
      <c r="D652" s="125"/>
      <c r="E652" s="125"/>
      <c r="F652" s="125"/>
      <c r="J652" s="125"/>
      <c r="K652" s="125"/>
    </row>
    <row r="653">
      <c r="D653" s="125"/>
      <c r="E653" s="125"/>
      <c r="F653" s="125"/>
      <c r="J653" s="125"/>
      <c r="K653" s="125"/>
    </row>
    <row r="654">
      <c r="D654" s="125"/>
      <c r="E654" s="125"/>
      <c r="F654" s="125"/>
      <c r="J654" s="125"/>
      <c r="K654" s="125"/>
    </row>
    <row r="655">
      <c r="D655" s="125"/>
      <c r="E655" s="125"/>
      <c r="F655" s="125"/>
      <c r="J655" s="125"/>
      <c r="K655" s="125"/>
    </row>
    <row r="656">
      <c r="D656" s="125"/>
      <c r="E656" s="125"/>
      <c r="F656" s="125"/>
      <c r="J656" s="125"/>
      <c r="K656" s="125"/>
    </row>
    <row r="657">
      <c r="D657" s="125"/>
      <c r="E657" s="125"/>
      <c r="F657" s="125"/>
      <c r="J657" s="125"/>
      <c r="K657" s="125"/>
    </row>
    <row r="658">
      <c r="D658" s="125"/>
      <c r="E658" s="125"/>
      <c r="F658" s="125"/>
      <c r="J658" s="125"/>
      <c r="K658" s="125"/>
    </row>
    <row r="659">
      <c r="D659" s="125"/>
      <c r="E659" s="125"/>
      <c r="F659" s="125"/>
      <c r="J659" s="125"/>
      <c r="K659" s="125"/>
    </row>
    <row r="660">
      <c r="D660" s="125"/>
      <c r="E660" s="125"/>
      <c r="F660" s="125"/>
      <c r="J660" s="125"/>
      <c r="K660" s="125"/>
    </row>
    <row r="661">
      <c r="D661" s="125"/>
      <c r="E661" s="125"/>
      <c r="F661" s="125"/>
      <c r="J661" s="125"/>
      <c r="K661" s="125"/>
    </row>
    <row r="662">
      <c r="D662" s="125"/>
      <c r="E662" s="125"/>
      <c r="F662" s="125"/>
      <c r="J662" s="125"/>
      <c r="K662" s="125"/>
    </row>
    <row r="663">
      <c r="D663" s="125"/>
      <c r="E663" s="125"/>
      <c r="F663" s="125"/>
      <c r="J663" s="125"/>
      <c r="K663" s="125"/>
    </row>
    <row r="664">
      <c r="D664" s="125"/>
      <c r="E664" s="125"/>
      <c r="F664" s="125"/>
      <c r="J664" s="125"/>
      <c r="K664" s="125"/>
    </row>
    <row r="665">
      <c r="D665" s="125"/>
      <c r="E665" s="125"/>
      <c r="F665" s="125"/>
      <c r="J665" s="125"/>
      <c r="K665" s="125"/>
    </row>
    <row r="666">
      <c r="D666" s="125"/>
      <c r="E666" s="125"/>
      <c r="F666" s="125"/>
      <c r="J666" s="125"/>
      <c r="K666" s="125"/>
    </row>
    <row r="667">
      <c r="D667" s="125"/>
      <c r="E667" s="125"/>
      <c r="F667" s="125"/>
      <c r="J667" s="125"/>
      <c r="K667" s="125"/>
    </row>
    <row r="668">
      <c r="D668" s="125"/>
      <c r="E668" s="125"/>
      <c r="F668" s="125"/>
      <c r="J668" s="125"/>
      <c r="K668" s="125"/>
    </row>
    <row r="669">
      <c r="D669" s="125"/>
      <c r="E669" s="125"/>
      <c r="F669" s="125"/>
      <c r="J669" s="125"/>
      <c r="K669" s="125"/>
    </row>
    <row r="670">
      <c r="D670" s="125"/>
      <c r="E670" s="125"/>
      <c r="F670" s="125"/>
      <c r="J670" s="125"/>
      <c r="K670" s="125"/>
    </row>
    <row r="671">
      <c r="D671" s="125"/>
      <c r="E671" s="125"/>
      <c r="F671" s="125"/>
      <c r="J671" s="125"/>
      <c r="K671" s="125"/>
    </row>
    <row r="672">
      <c r="D672" s="125"/>
      <c r="E672" s="125"/>
      <c r="F672" s="125"/>
      <c r="J672" s="125"/>
      <c r="K672" s="125"/>
    </row>
    <row r="673">
      <c r="D673" s="125"/>
      <c r="E673" s="125"/>
      <c r="F673" s="125"/>
      <c r="J673" s="125"/>
      <c r="K673" s="125"/>
    </row>
    <row r="674">
      <c r="D674" s="125"/>
      <c r="E674" s="125"/>
      <c r="F674" s="125"/>
      <c r="J674" s="125"/>
      <c r="K674" s="125"/>
    </row>
    <row r="675">
      <c r="D675" s="125"/>
      <c r="E675" s="125"/>
      <c r="F675" s="125"/>
      <c r="J675" s="125"/>
      <c r="K675" s="125"/>
    </row>
    <row r="676">
      <c r="D676" s="125"/>
      <c r="E676" s="125"/>
      <c r="F676" s="125"/>
      <c r="J676" s="125"/>
      <c r="K676" s="125"/>
    </row>
    <row r="677">
      <c r="D677" s="125"/>
      <c r="E677" s="125"/>
      <c r="F677" s="125"/>
      <c r="J677" s="125"/>
      <c r="K677" s="125"/>
    </row>
    <row r="678">
      <c r="D678" s="125"/>
      <c r="E678" s="125"/>
      <c r="F678" s="125"/>
      <c r="J678" s="125"/>
      <c r="K678" s="125"/>
    </row>
    <row r="679">
      <c r="D679" s="125"/>
      <c r="E679" s="125"/>
      <c r="F679" s="125"/>
      <c r="J679" s="125"/>
      <c r="K679" s="125"/>
    </row>
    <row r="680">
      <c r="D680" s="125"/>
      <c r="E680" s="125"/>
      <c r="F680" s="125"/>
      <c r="J680" s="125"/>
      <c r="K680" s="125"/>
    </row>
    <row r="681">
      <c r="D681" s="125"/>
      <c r="E681" s="125"/>
      <c r="F681" s="125"/>
      <c r="J681" s="125"/>
      <c r="K681" s="125"/>
    </row>
    <row r="682">
      <c r="D682" s="125"/>
      <c r="E682" s="125"/>
      <c r="F682" s="125"/>
      <c r="J682" s="125"/>
      <c r="K682" s="125"/>
    </row>
    <row r="683">
      <c r="D683" s="125"/>
      <c r="E683" s="125"/>
      <c r="F683" s="125"/>
      <c r="J683" s="125"/>
      <c r="K683" s="125"/>
    </row>
    <row r="684">
      <c r="D684" s="125"/>
      <c r="E684" s="125"/>
      <c r="F684" s="125"/>
      <c r="J684" s="125"/>
      <c r="K684" s="125"/>
    </row>
    <row r="685">
      <c r="D685" s="125"/>
      <c r="E685" s="125"/>
      <c r="F685" s="125"/>
      <c r="J685" s="125"/>
      <c r="K685" s="125"/>
    </row>
    <row r="686">
      <c r="D686" s="125"/>
      <c r="E686" s="125"/>
      <c r="F686" s="125"/>
      <c r="J686" s="125"/>
      <c r="K686" s="125"/>
    </row>
    <row r="687">
      <c r="D687" s="125"/>
      <c r="E687" s="125"/>
      <c r="F687" s="125"/>
      <c r="J687" s="125"/>
      <c r="K687" s="125"/>
    </row>
    <row r="688">
      <c r="D688" s="125"/>
      <c r="E688" s="125"/>
      <c r="F688" s="125"/>
      <c r="J688" s="125"/>
      <c r="K688" s="125"/>
    </row>
    <row r="689">
      <c r="D689" s="125"/>
      <c r="E689" s="125"/>
      <c r="F689" s="125"/>
      <c r="J689" s="125"/>
      <c r="K689" s="125"/>
    </row>
    <row r="690">
      <c r="D690" s="125"/>
      <c r="E690" s="125"/>
      <c r="F690" s="125"/>
      <c r="J690" s="125"/>
      <c r="K690" s="125"/>
    </row>
    <row r="691">
      <c r="D691" s="125"/>
      <c r="E691" s="125"/>
      <c r="F691" s="125"/>
      <c r="J691" s="125"/>
      <c r="K691" s="125"/>
    </row>
    <row r="692">
      <c r="D692" s="125"/>
      <c r="E692" s="125"/>
      <c r="F692" s="125"/>
      <c r="J692" s="125"/>
      <c r="K692" s="125"/>
    </row>
    <row r="693">
      <c r="D693" s="125"/>
      <c r="E693" s="125"/>
      <c r="F693" s="125"/>
      <c r="J693" s="125"/>
      <c r="K693" s="125"/>
    </row>
    <row r="694">
      <c r="D694" s="125"/>
      <c r="E694" s="125"/>
      <c r="F694" s="125"/>
      <c r="J694" s="125"/>
      <c r="K694" s="125"/>
    </row>
    <row r="695">
      <c r="D695" s="125"/>
      <c r="E695" s="125"/>
      <c r="F695" s="125"/>
      <c r="J695" s="125"/>
      <c r="K695" s="125"/>
    </row>
    <row r="696">
      <c r="D696" s="125"/>
      <c r="E696" s="125"/>
      <c r="F696" s="125"/>
      <c r="J696" s="125"/>
      <c r="K696" s="125"/>
    </row>
    <row r="697">
      <c r="D697" s="125"/>
      <c r="E697" s="125"/>
      <c r="F697" s="125"/>
      <c r="J697" s="125"/>
      <c r="K697" s="125"/>
    </row>
    <row r="698">
      <c r="D698" s="125"/>
      <c r="E698" s="125"/>
      <c r="F698" s="125"/>
      <c r="J698" s="125"/>
      <c r="K698" s="125"/>
    </row>
    <row r="699">
      <c r="D699" s="125"/>
      <c r="E699" s="125"/>
      <c r="F699" s="125"/>
      <c r="J699" s="125"/>
      <c r="K699" s="125"/>
    </row>
    <row r="700">
      <c r="D700" s="125"/>
      <c r="E700" s="125"/>
      <c r="F700" s="125"/>
      <c r="J700" s="125"/>
      <c r="K700" s="125"/>
    </row>
    <row r="701">
      <c r="D701" s="125"/>
      <c r="E701" s="125"/>
      <c r="F701" s="125"/>
      <c r="J701" s="125"/>
      <c r="K701" s="125"/>
    </row>
    <row r="702">
      <c r="D702" s="125"/>
      <c r="E702" s="125"/>
      <c r="F702" s="125"/>
      <c r="J702" s="125"/>
      <c r="K702" s="125"/>
    </row>
    <row r="703">
      <c r="D703" s="125"/>
      <c r="E703" s="125"/>
      <c r="F703" s="125"/>
      <c r="J703" s="125"/>
      <c r="K703" s="125"/>
    </row>
    <row r="704">
      <c r="D704" s="125"/>
      <c r="E704" s="125"/>
      <c r="F704" s="125"/>
      <c r="J704" s="125"/>
      <c r="K704" s="125"/>
    </row>
    <row r="705">
      <c r="D705" s="125"/>
      <c r="E705" s="125"/>
      <c r="F705" s="125"/>
      <c r="J705" s="125"/>
      <c r="K705" s="125"/>
    </row>
    <row r="706">
      <c r="D706" s="125"/>
      <c r="E706" s="125"/>
      <c r="F706" s="125"/>
      <c r="J706" s="125"/>
      <c r="K706" s="125"/>
    </row>
    <row r="707">
      <c r="D707" s="125"/>
      <c r="E707" s="125"/>
      <c r="F707" s="125"/>
      <c r="J707" s="125"/>
      <c r="K707" s="125"/>
    </row>
    <row r="708">
      <c r="D708" s="125"/>
      <c r="E708" s="125"/>
      <c r="F708" s="125"/>
      <c r="J708" s="125"/>
      <c r="K708" s="125"/>
    </row>
    <row r="709">
      <c r="D709" s="125"/>
      <c r="E709" s="125"/>
      <c r="F709" s="125"/>
      <c r="J709" s="125"/>
      <c r="K709" s="125"/>
    </row>
    <row r="710">
      <c r="D710" s="125"/>
      <c r="E710" s="125"/>
      <c r="F710" s="125"/>
      <c r="J710" s="125"/>
      <c r="K710" s="125"/>
    </row>
    <row r="711">
      <c r="D711" s="125"/>
      <c r="E711" s="125"/>
      <c r="F711" s="125"/>
      <c r="J711" s="125"/>
      <c r="K711" s="125"/>
    </row>
    <row r="712">
      <c r="D712" s="125"/>
      <c r="E712" s="125"/>
      <c r="F712" s="125"/>
      <c r="J712" s="125"/>
      <c r="K712" s="125"/>
    </row>
    <row r="713">
      <c r="D713" s="125"/>
      <c r="E713" s="125"/>
      <c r="F713" s="125"/>
      <c r="J713" s="125"/>
      <c r="K713" s="125"/>
    </row>
    <row r="714">
      <c r="D714" s="125"/>
      <c r="E714" s="125"/>
      <c r="F714" s="125"/>
      <c r="J714" s="125"/>
      <c r="K714" s="125"/>
    </row>
    <row r="715">
      <c r="D715" s="125"/>
      <c r="E715" s="125"/>
      <c r="F715" s="125"/>
      <c r="J715" s="125"/>
      <c r="K715" s="125"/>
    </row>
    <row r="716">
      <c r="D716" s="125"/>
      <c r="E716" s="125"/>
      <c r="F716" s="125"/>
      <c r="J716" s="125"/>
      <c r="K716" s="125"/>
    </row>
    <row r="717">
      <c r="D717" s="125"/>
      <c r="E717" s="125"/>
      <c r="F717" s="125"/>
      <c r="J717" s="125"/>
      <c r="K717" s="125"/>
    </row>
    <row r="718">
      <c r="D718" s="125"/>
      <c r="E718" s="125"/>
      <c r="F718" s="125"/>
      <c r="J718" s="125"/>
      <c r="K718" s="125"/>
    </row>
    <row r="719">
      <c r="D719" s="125"/>
      <c r="E719" s="125"/>
      <c r="F719" s="125"/>
      <c r="J719" s="125"/>
      <c r="K719" s="125"/>
    </row>
    <row r="720">
      <c r="D720" s="125"/>
      <c r="E720" s="125"/>
      <c r="F720" s="125"/>
      <c r="J720" s="125"/>
      <c r="K720" s="125"/>
    </row>
    <row r="721">
      <c r="D721" s="125"/>
      <c r="E721" s="125"/>
      <c r="F721" s="125"/>
      <c r="J721" s="125"/>
      <c r="K721" s="125"/>
    </row>
    <row r="722">
      <c r="D722" s="125"/>
      <c r="E722" s="125"/>
      <c r="F722" s="125"/>
      <c r="J722" s="125"/>
      <c r="K722" s="125"/>
    </row>
    <row r="723">
      <c r="D723" s="125"/>
      <c r="E723" s="125"/>
      <c r="F723" s="125"/>
      <c r="J723" s="125"/>
      <c r="K723" s="125"/>
    </row>
    <row r="724">
      <c r="D724" s="125"/>
      <c r="E724" s="125"/>
      <c r="F724" s="125"/>
      <c r="J724" s="125"/>
      <c r="K724" s="125"/>
    </row>
    <row r="725">
      <c r="D725" s="125"/>
      <c r="E725" s="125"/>
      <c r="F725" s="125"/>
      <c r="J725" s="125"/>
      <c r="K725" s="125"/>
    </row>
    <row r="726">
      <c r="D726" s="125"/>
      <c r="E726" s="125"/>
      <c r="F726" s="125"/>
      <c r="J726" s="125"/>
      <c r="K726" s="125"/>
    </row>
    <row r="727">
      <c r="D727" s="125"/>
      <c r="E727" s="125"/>
      <c r="F727" s="125"/>
      <c r="J727" s="125"/>
      <c r="K727" s="125"/>
    </row>
    <row r="728">
      <c r="D728" s="125"/>
      <c r="E728" s="125"/>
      <c r="F728" s="125"/>
      <c r="J728" s="125"/>
      <c r="K728" s="125"/>
    </row>
    <row r="729">
      <c r="D729" s="125"/>
      <c r="E729" s="125"/>
      <c r="F729" s="125"/>
      <c r="J729" s="125"/>
      <c r="K729" s="125"/>
    </row>
    <row r="730">
      <c r="D730" s="125"/>
      <c r="E730" s="125"/>
      <c r="F730" s="125"/>
      <c r="J730" s="125"/>
      <c r="K730" s="125"/>
    </row>
    <row r="731">
      <c r="D731" s="125"/>
      <c r="E731" s="125"/>
      <c r="F731" s="125"/>
      <c r="J731" s="125"/>
      <c r="K731" s="125"/>
    </row>
    <row r="732">
      <c r="D732" s="125"/>
      <c r="E732" s="125"/>
      <c r="F732" s="125"/>
      <c r="J732" s="125"/>
      <c r="K732" s="125"/>
    </row>
    <row r="733">
      <c r="D733" s="125"/>
      <c r="E733" s="125"/>
      <c r="F733" s="125"/>
      <c r="J733" s="125"/>
      <c r="K733" s="125"/>
    </row>
    <row r="734">
      <c r="D734" s="125"/>
      <c r="E734" s="125"/>
      <c r="F734" s="125"/>
      <c r="J734" s="125"/>
      <c r="K734" s="125"/>
    </row>
    <row r="735">
      <c r="D735" s="125"/>
      <c r="E735" s="125"/>
      <c r="F735" s="125"/>
      <c r="J735" s="125"/>
      <c r="K735" s="125"/>
    </row>
    <row r="736">
      <c r="D736" s="125"/>
      <c r="E736" s="125"/>
      <c r="F736" s="125"/>
      <c r="J736" s="125"/>
      <c r="K736" s="125"/>
    </row>
    <row r="737">
      <c r="D737" s="125"/>
      <c r="E737" s="125"/>
      <c r="F737" s="125"/>
      <c r="J737" s="125"/>
      <c r="K737" s="125"/>
    </row>
    <row r="738">
      <c r="D738" s="125"/>
      <c r="E738" s="125"/>
      <c r="F738" s="125"/>
      <c r="J738" s="125"/>
      <c r="K738" s="125"/>
    </row>
    <row r="739">
      <c r="D739" s="125"/>
      <c r="E739" s="125"/>
      <c r="F739" s="125"/>
      <c r="J739" s="125"/>
      <c r="K739" s="125"/>
    </row>
    <row r="740">
      <c r="D740" s="125"/>
      <c r="E740" s="125"/>
      <c r="F740" s="125"/>
      <c r="J740" s="125"/>
      <c r="K740" s="125"/>
    </row>
    <row r="741">
      <c r="D741" s="125"/>
      <c r="E741" s="125"/>
      <c r="F741" s="125"/>
      <c r="J741" s="125"/>
      <c r="K741" s="125"/>
    </row>
    <row r="742">
      <c r="D742" s="125"/>
      <c r="E742" s="125"/>
      <c r="F742" s="125"/>
      <c r="J742" s="125"/>
      <c r="K742" s="125"/>
    </row>
    <row r="743">
      <c r="D743" s="125"/>
      <c r="E743" s="125"/>
      <c r="F743" s="125"/>
      <c r="J743" s="125"/>
      <c r="K743" s="125"/>
    </row>
    <row r="744">
      <c r="D744" s="125"/>
      <c r="E744" s="125"/>
      <c r="F744" s="125"/>
      <c r="J744" s="125"/>
      <c r="K744" s="125"/>
    </row>
    <row r="745">
      <c r="D745" s="125"/>
      <c r="E745" s="125"/>
      <c r="F745" s="125"/>
      <c r="J745" s="125"/>
      <c r="K745" s="125"/>
    </row>
    <row r="746">
      <c r="D746" s="125"/>
      <c r="E746" s="125"/>
      <c r="F746" s="125"/>
      <c r="J746" s="125"/>
      <c r="K746" s="125"/>
    </row>
    <row r="747">
      <c r="D747" s="125"/>
      <c r="E747" s="125"/>
      <c r="F747" s="125"/>
      <c r="J747" s="125"/>
      <c r="K747" s="125"/>
    </row>
    <row r="748">
      <c r="D748" s="125"/>
      <c r="E748" s="125"/>
      <c r="F748" s="125"/>
      <c r="J748" s="125"/>
      <c r="K748" s="125"/>
    </row>
    <row r="749">
      <c r="D749" s="125"/>
      <c r="E749" s="125"/>
      <c r="F749" s="125"/>
      <c r="J749" s="125"/>
      <c r="K749" s="125"/>
    </row>
    <row r="750">
      <c r="D750" s="125"/>
      <c r="E750" s="125"/>
      <c r="F750" s="125"/>
      <c r="J750" s="125"/>
      <c r="K750" s="125"/>
    </row>
    <row r="751">
      <c r="D751" s="125"/>
      <c r="E751" s="125"/>
      <c r="F751" s="125"/>
      <c r="J751" s="125"/>
      <c r="K751" s="125"/>
    </row>
    <row r="752">
      <c r="D752" s="125"/>
      <c r="E752" s="125"/>
      <c r="F752" s="125"/>
      <c r="J752" s="125"/>
      <c r="K752" s="125"/>
    </row>
    <row r="753">
      <c r="D753" s="125"/>
      <c r="E753" s="125"/>
      <c r="F753" s="125"/>
      <c r="J753" s="125"/>
      <c r="K753" s="125"/>
    </row>
    <row r="754">
      <c r="D754" s="125"/>
      <c r="E754" s="125"/>
      <c r="F754" s="125"/>
      <c r="J754" s="125"/>
      <c r="K754" s="125"/>
    </row>
    <row r="755">
      <c r="D755" s="125"/>
      <c r="E755" s="125"/>
      <c r="F755" s="125"/>
      <c r="J755" s="125"/>
      <c r="K755" s="125"/>
    </row>
    <row r="756">
      <c r="D756" s="125"/>
      <c r="E756" s="125"/>
      <c r="F756" s="125"/>
      <c r="J756" s="125"/>
      <c r="K756" s="125"/>
    </row>
    <row r="757">
      <c r="D757" s="125"/>
      <c r="E757" s="125"/>
      <c r="F757" s="125"/>
      <c r="J757" s="125"/>
      <c r="K757" s="125"/>
    </row>
    <row r="758">
      <c r="D758" s="125"/>
      <c r="E758" s="125"/>
      <c r="F758" s="125"/>
      <c r="J758" s="125"/>
      <c r="K758" s="125"/>
    </row>
    <row r="759">
      <c r="D759" s="125"/>
      <c r="E759" s="125"/>
      <c r="F759" s="125"/>
      <c r="J759" s="125"/>
      <c r="K759" s="125"/>
    </row>
    <row r="760">
      <c r="D760" s="125"/>
      <c r="E760" s="125"/>
      <c r="F760" s="125"/>
      <c r="J760" s="125"/>
      <c r="K760" s="125"/>
    </row>
    <row r="761">
      <c r="D761" s="125"/>
      <c r="E761" s="125"/>
      <c r="F761" s="125"/>
      <c r="J761" s="125"/>
      <c r="K761" s="125"/>
    </row>
    <row r="762">
      <c r="D762" s="125"/>
      <c r="E762" s="125"/>
      <c r="F762" s="125"/>
      <c r="J762" s="125"/>
      <c r="K762" s="125"/>
    </row>
    <row r="763">
      <c r="D763" s="125"/>
      <c r="E763" s="125"/>
      <c r="F763" s="125"/>
      <c r="J763" s="125"/>
      <c r="K763" s="125"/>
    </row>
    <row r="764">
      <c r="D764" s="125"/>
      <c r="E764" s="125"/>
      <c r="F764" s="125"/>
      <c r="J764" s="125"/>
      <c r="K764" s="125"/>
    </row>
    <row r="765">
      <c r="D765" s="125"/>
      <c r="E765" s="125"/>
      <c r="F765" s="125"/>
      <c r="J765" s="125"/>
      <c r="K765" s="125"/>
    </row>
    <row r="766">
      <c r="D766" s="125"/>
      <c r="E766" s="125"/>
      <c r="F766" s="125"/>
      <c r="J766" s="125"/>
      <c r="K766" s="125"/>
    </row>
    <row r="767">
      <c r="D767" s="125"/>
      <c r="E767" s="125"/>
      <c r="F767" s="125"/>
      <c r="J767" s="125"/>
      <c r="K767" s="125"/>
    </row>
    <row r="768">
      <c r="D768" s="125"/>
      <c r="E768" s="125"/>
      <c r="F768" s="125"/>
      <c r="J768" s="125"/>
      <c r="K768" s="125"/>
    </row>
    <row r="769">
      <c r="D769" s="125"/>
      <c r="E769" s="125"/>
      <c r="F769" s="125"/>
      <c r="J769" s="125"/>
      <c r="K769" s="125"/>
    </row>
    <row r="770">
      <c r="D770" s="125"/>
      <c r="E770" s="125"/>
      <c r="F770" s="125"/>
      <c r="J770" s="125"/>
      <c r="K770" s="125"/>
    </row>
    <row r="771">
      <c r="D771" s="125"/>
      <c r="E771" s="125"/>
      <c r="F771" s="125"/>
      <c r="J771" s="125"/>
      <c r="K771" s="125"/>
    </row>
    <row r="772">
      <c r="D772" s="125"/>
      <c r="E772" s="125"/>
      <c r="F772" s="125"/>
      <c r="J772" s="125"/>
      <c r="K772" s="125"/>
    </row>
    <row r="773">
      <c r="D773" s="125"/>
      <c r="E773" s="125"/>
      <c r="F773" s="125"/>
      <c r="J773" s="125"/>
      <c r="K773" s="125"/>
    </row>
    <row r="774">
      <c r="D774" s="125"/>
      <c r="E774" s="125"/>
      <c r="F774" s="125"/>
      <c r="J774" s="125"/>
      <c r="K774" s="125"/>
    </row>
    <row r="775">
      <c r="D775" s="125"/>
      <c r="E775" s="125"/>
      <c r="F775" s="125"/>
      <c r="J775" s="125"/>
      <c r="K775" s="125"/>
    </row>
    <row r="776">
      <c r="D776" s="125"/>
      <c r="E776" s="125"/>
      <c r="F776" s="125"/>
      <c r="J776" s="125"/>
      <c r="K776" s="125"/>
    </row>
    <row r="777">
      <c r="D777" s="125"/>
      <c r="E777" s="125"/>
      <c r="F777" s="125"/>
      <c r="J777" s="125"/>
      <c r="K777" s="125"/>
    </row>
    <row r="778">
      <c r="D778" s="125"/>
      <c r="E778" s="125"/>
      <c r="F778" s="125"/>
      <c r="J778" s="125"/>
      <c r="K778" s="125"/>
    </row>
    <row r="779">
      <c r="D779" s="125"/>
      <c r="E779" s="125"/>
      <c r="F779" s="125"/>
      <c r="J779" s="125"/>
      <c r="K779" s="125"/>
    </row>
    <row r="780">
      <c r="D780" s="125"/>
      <c r="E780" s="125"/>
      <c r="F780" s="125"/>
      <c r="J780" s="125"/>
      <c r="K780" s="125"/>
    </row>
    <row r="781">
      <c r="D781" s="125"/>
      <c r="E781" s="125"/>
      <c r="F781" s="125"/>
      <c r="J781" s="125"/>
      <c r="K781" s="125"/>
    </row>
    <row r="782">
      <c r="D782" s="125"/>
      <c r="E782" s="125"/>
      <c r="F782" s="125"/>
      <c r="J782" s="125"/>
      <c r="K782" s="125"/>
    </row>
    <row r="783">
      <c r="D783" s="125"/>
      <c r="E783" s="125"/>
      <c r="F783" s="125"/>
      <c r="J783" s="125"/>
      <c r="K783" s="125"/>
    </row>
    <row r="784">
      <c r="D784" s="125"/>
      <c r="E784" s="125"/>
      <c r="F784" s="125"/>
      <c r="J784" s="125"/>
      <c r="K784" s="125"/>
    </row>
    <row r="785">
      <c r="D785" s="125"/>
      <c r="E785" s="125"/>
      <c r="F785" s="125"/>
      <c r="J785" s="125"/>
      <c r="K785" s="125"/>
    </row>
    <row r="786">
      <c r="D786" s="125"/>
      <c r="E786" s="125"/>
      <c r="F786" s="125"/>
      <c r="J786" s="125"/>
      <c r="K786" s="125"/>
    </row>
    <row r="787">
      <c r="D787" s="125"/>
      <c r="E787" s="125"/>
      <c r="F787" s="125"/>
      <c r="J787" s="125"/>
      <c r="K787" s="125"/>
    </row>
    <row r="788">
      <c r="D788" s="125"/>
      <c r="E788" s="125"/>
      <c r="F788" s="125"/>
      <c r="J788" s="125"/>
      <c r="K788" s="125"/>
    </row>
    <row r="789">
      <c r="D789" s="125"/>
      <c r="E789" s="125"/>
      <c r="F789" s="125"/>
      <c r="J789" s="125"/>
      <c r="K789" s="125"/>
    </row>
    <row r="790">
      <c r="D790" s="125"/>
      <c r="E790" s="125"/>
      <c r="F790" s="125"/>
      <c r="J790" s="125"/>
      <c r="K790" s="125"/>
    </row>
    <row r="791">
      <c r="D791" s="125"/>
      <c r="E791" s="125"/>
      <c r="F791" s="125"/>
      <c r="J791" s="125"/>
      <c r="K791" s="125"/>
    </row>
    <row r="792">
      <c r="D792" s="125"/>
      <c r="E792" s="125"/>
      <c r="F792" s="125"/>
      <c r="J792" s="125"/>
      <c r="K792" s="125"/>
    </row>
    <row r="793">
      <c r="D793" s="125"/>
      <c r="E793" s="125"/>
      <c r="F793" s="125"/>
      <c r="J793" s="125"/>
      <c r="K793" s="125"/>
    </row>
    <row r="794">
      <c r="D794" s="125"/>
      <c r="E794" s="125"/>
      <c r="F794" s="125"/>
      <c r="J794" s="125"/>
      <c r="K794" s="125"/>
    </row>
    <row r="795">
      <c r="D795" s="125"/>
      <c r="E795" s="125"/>
      <c r="F795" s="125"/>
      <c r="J795" s="125"/>
      <c r="K795" s="125"/>
    </row>
    <row r="796">
      <c r="D796" s="125"/>
      <c r="E796" s="125"/>
      <c r="F796" s="125"/>
      <c r="J796" s="125"/>
      <c r="K796" s="125"/>
    </row>
    <row r="797">
      <c r="D797" s="125"/>
      <c r="E797" s="125"/>
      <c r="F797" s="125"/>
      <c r="J797" s="125"/>
      <c r="K797" s="125"/>
    </row>
    <row r="798">
      <c r="D798" s="125"/>
      <c r="E798" s="125"/>
      <c r="F798" s="125"/>
      <c r="J798" s="125"/>
      <c r="K798" s="125"/>
    </row>
    <row r="799">
      <c r="D799" s="125"/>
      <c r="E799" s="125"/>
      <c r="F799" s="125"/>
      <c r="J799" s="125"/>
      <c r="K799" s="125"/>
    </row>
    <row r="800">
      <c r="D800" s="125"/>
      <c r="E800" s="125"/>
      <c r="F800" s="125"/>
      <c r="J800" s="125"/>
      <c r="K800" s="125"/>
    </row>
    <row r="801">
      <c r="D801" s="125"/>
      <c r="E801" s="125"/>
      <c r="F801" s="125"/>
      <c r="J801" s="125"/>
      <c r="K801" s="125"/>
    </row>
    <row r="802">
      <c r="D802" s="125"/>
      <c r="E802" s="125"/>
      <c r="F802" s="125"/>
      <c r="J802" s="125"/>
      <c r="K802" s="125"/>
    </row>
    <row r="803">
      <c r="D803" s="125"/>
      <c r="E803" s="125"/>
      <c r="F803" s="125"/>
      <c r="J803" s="125"/>
      <c r="K803" s="125"/>
    </row>
    <row r="804">
      <c r="D804" s="125"/>
      <c r="E804" s="125"/>
      <c r="F804" s="125"/>
      <c r="J804" s="125"/>
      <c r="K804" s="125"/>
    </row>
    <row r="805">
      <c r="D805" s="125"/>
      <c r="E805" s="125"/>
      <c r="F805" s="125"/>
      <c r="J805" s="125"/>
      <c r="K805" s="125"/>
    </row>
    <row r="806">
      <c r="D806" s="125"/>
      <c r="E806" s="125"/>
      <c r="F806" s="125"/>
      <c r="J806" s="125"/>
      <c r="K806" s="125"/>
    </row>
    <row r="807">
      <c r="D807" s="125"/>
      <c r="E807" s="125"/>
      <c r="F807" s="125"/>
      <c r="J807" s="125"/>
      <c r="K807" s="125"/>
    </row>
    <row r="808">
      <c r="D808" s="125"/>
      <c r="E808" s="125"/>
      <c r="F808" s="125"/>
      <c r="J808" s="125"/>
      <c r="K808" s="125"/>
    </row>
    <row r="809">
      <c r="D809" s="125"/>
      <c r="E809" s="125"/>
      <c r="F809" s="125"/>
      <c r="J809" s="125"/>
      <c r="K809" s="125"/>
    </row>
    <row r="810">
      <c r="D810" s="125"/>
      <c r="E810" s="125"/>
      <c r="F810" s="125"/>
      <c r="J810" s="125"/>
      <c r="K810" s="125"/>
    </row>
    <row r="811">
      <c r="D811" s="125"/>
      <c r="E811" s="125"/>
      <c r="F811" s="125"/>
      <c r="J811" s="125"/>
      <c r="K811" s="125"/>
    </row>
    <row r="812">
      <c r="D812" s="125"/>
      <c r="E812" s="125"/>
      <c r="F812" s="125"/>
      <c r="J812" s="125"/>
      <c r="K812" s="125"/>
    </row>
    <row r="813">
      <c r="D813" s="125"/>
      <c r="E813" s="125"/>
      <c r="F813" s="125"/>
      <c r="J813" s="125"/>
      <c r="K813" s="125"/>
    </row>
    <row r="814">
      <c r="D814" s="125"/>
      <c r="E814" s="125"/>
      <c r="F814" s="125"/>
      <c r="J814" s="125"/>
      <c r="K814" s="125"/>
    </row>
    <row r="815">
      <c r="D815" s="125"/>
      <c r="E815" s="125"/>
      <c r="F815" s="125"/>
      <c r="J815" s="125"/>
      <c r="K815" s="125"/>
    </row>
    <row r="816">
      <c r="D816" s="125"/>
      <c r="E816" s="125"/>
      <c r="F816" s="125"/>
      <c r="J816" s="125"/>
      <c r="K816" s="125"/>
    </row>
    <row r="817">
      <c r="D817" s="125"/>
      <c r="E817" s="125"/>
      <c r="F817" s="125"/>
      <c r="J817" s="125"/>
      <c r="K817" s="125"/>
    </row>
    <row r="818">
      <c r="D818" s="125"/>
      <c r="E818" s="125"/>
      <c r="F818" s="125"/>
      <c r="J818" s="125"/>
      <c r="K818" s="125"/>
    </row>
    <row r="819">
      <c r="D819" s="125"/>
      <c r="E819" s="125"/>
      <c r="F819" s="125"/>
      <c r="J819" s="125"/>
      <c r="K819" s="125"/>
    </row>
    <row r="820">
      <c r="D820" s="125"/>
      <c r="E820" s="125"/>
      <c r="F820" s="125"/>
      <c r="J820" s="125"/>
      <c r="K820" s="125"/>
    </row>
    <row r="821">
      <c r="D821" s="125"/>
      <c r="E821" s="125"/>
      <c r="F821" s="125"/>
      <c r="J821" s="125"/>
      <c r="K821" s="125"/>
    </row>
    <row r="822">
      <c r="D822" s="125"/>
      <c r="E822" s="125"/>
      <c r="F822" s="125"/>
      <c r="J822" s="125"/>
      <c r="K822" s="125"/>
    </row>
    <row r="823">
      <c r="D823" s="125"/>
      <c r="E823" s="125"/>
      <c r="F823" s="125"/>
      <c r="J823" s="125"/>
      <c r="K823" s="125"/>
    </row>
    <row r="824">
      <c r="D824" s="125"/>
      <c r="E824" s="125"/>
      <c r="F824" s="125"/>
      <c r="J824" s="125"/>
      <c r="K824" s="125"/>
    </row>
    <row r="825">
      <c r="D825" s="125"/>
      <c r="E825" s="125"/>
      <c r="F825" s="125"/>
      <c r="J825" s="125"/>
      <c r="K825" s="125"/>
    </row>
    <row r="826">
      <c r="D826" s="125"/>
      <c r="E826" s="125"/>
      <c r="F826" s="125"/>
      <c r="J826" s="125"/>
      <c r="K826" s="125"/>
    </row>
    <row r="827">
      <c r="D827" s="125"/>
      <c r="E827" s="125"/>
      <c r="F827" s="125"/>
      <c r="J827" s="125"/>
      <c r="K827" s="125"/>
    </row>
    <row r="828">
      <c r="D828" s="125"/>
      <c r="E828" s="125"/>
      <c r="F828" s="125"/>
      <c r="J828" s="125"/>
      <c r="K828" s="125"/>
    </row>
    <row r="829">
      <c r="D829" s="125"/>
      <c r="E829" s="125"/>
      <c r="F829" s="125"/>
      <c r="J829" s="125"/>
      <c r="K829" s="125"/>
    </row>
    <row r="830">
      <c r="D830" s="125"/>
      <c r="E830" s="125"/>
      <c r="F830" s="125"/>
      <c r="J830" s="125"/>
      <c r="K830" s="125"/>
    </row>
    <row r="831">
      <c r="D831" s="125"/>
      <c r="E831" s="125"/>
      <c r="F831" s="125"/>
      <c r="J831" s="125"/>
      <c r="K831" s="125"/>
    </row>
    <row r="832">
      <c r="D832" s="125"/>
      <c r="E832" s="125"/>
      <c r="F832" s="125"/>
      <c r="J832" s="125"/>
      <c r="K832" s="125"/>
    </row>
    <row r="833">
      <c r="D833" s="125"/>
      <c r="E833" s="125"/>
      <c r="F833" s="125"/>
      <c r="J833" s="125"/>
      <c r="K833" s="125"/>
    </row>
    <row r="834">
      <c r="D834" s="125"/>
      <c r="E834" s="125"/>
      <c r="F834" s="125"/>
      <c r="J834" s="125"/>
      <c r="K834" s="125"/>
    </row>
    <row r="835">
      <c r="D835" s="125"/>
      <c r="E835" s="125"/>
      <c r="F835" s="125"/>
      <c r="J835" s="125"/>
      <c r="K835" s="125"/>
    </row>
    <row r="836">
      <c r="D836" s="125"/>
      <c r="E836" s="125"/>
      <c r="F836" s="125"/>
      <c r="J836" s="125"/>
      <c r="K836" s="125"/>
    </row>
    <row r="837">
      <c r="D837" s="125"/>
      <c r="E837" s="125"/>
      <c r="F837" s="125"/>
      <c r="J837" s="125"/>
      <c r="K837" s="125"/>
    </row>
    <row r="838">
      <c r="D838" s="125"/>
      <c r="E838" s="125"/>
      <c r="F838" s="125"/>
      <c r="J838" s="125"/>
      <c r="K838" s="125"/>
    </row>
    <row r="839">
      <c r="D839" s="125"/>
      <c r="E839" s="125"/>
      <c r="F839" s="125"/>
      <c r="J839" s="125"/>
      <c r="K839" s="125"/>
    </row>
    <row r="840">
      <c r="D840" s="125"/>
      <c r="E840" s="125"/>
      <c r="F840" s="125"/>
      <c r="J840" s="125"/>
      <c r="K840" s="125"/>
    </row>
    <row r="841">
      <c r="D841" s="125"/>
      <c r="E841" s="125"/>
      <c r="F841" s="125"/>
      <c r="J841" s="125"/>
      <c r="K841" s="125"/>
    </row>
    <row r="842">
      <c r="D842" s="125"/>
      <c r="E842" s="125"/>
      <c r="F842" s="125"/>
      <c r="J842" s="125"/>
      <c r="K842" s="125"/>
    </row>
    <row r="843">
      <c r="D843" s="125"/>
      <c r="E843" s="125"/>
      <c r="F843" s="125"/>
      <c r="J843" s="125"/>
      <c r="K843" s="125"/>
    </row>
    <row r="844">
      <c r="D844" s="125"/>
      <c r="E844" s="125"/>
      <c r="F844" s="125"/>
      <c r="J844" s="125"/>
      <c r="K844" s="125"/>
    </row>
    <row r="845">
      <c r="D845" s="125"/>
      <c r="E845" s="125"/>
      <c r="F845" s="125"/>
      <c r="J845" s="125"/>
      <c r="K845" s="125"/>
    </row>
    <row r="846">
      <c r="D846" s="125"/>
      <c r="E846" s="125"/>
      <c r="F846" s="125"/>
      <c r="J846" s="125"/>
      <c r="K846" s="125"/>
    </row>
    <row r="847">
      <c r="D847" s="125"/>
      <c r="E847" s="125"/>
      <c r="F847" s="125"/>
      <c r="J847" s="125"/>
      <c r="K847" s="125"/>
    </row>
    <row r="848">
      <c r="D848" s="125"/>
      <c r="E848" s="125"/>
      <c r="F848" s="125"/>
      <c r="J848" s="125"/>
      <c r="K848" s="125"/>
    </row>
    <row r="849">
      <c r="D849" s="125"/>
      <c r="E849" s="125"/>
      <c r="F849" s="125"/>
      <c r="J849" s="125"/>
      <c r="K849" s="125"/>
    </row>
    <row r="850">
      <c r="D850" s="125"/>
      <c r="E850" s="125"/>
      <c r="F850" s="125"/>
      <c r="J850" s="125"/>
      <c r="K850" s="125"/>
    </row>
    <row r="851">
      <c r="D851" s="125"/>
      <c r="E851" s="125"/>
      <c r="F851" s="125"/>
      <c r="J851" s="125"/>
      <c r="K851" s="125"/>
    </row>
    <row r="852">
      <c r="D852" s="125"/>
      <c r="E852" s="125"/>
      <c r="F852" s="125"/>
      <c r="J852" s="125"/>
      <c r="K852" s="125"/>
    </row>
    <row r="853">
      <c r="D853" s="125"/>
      <c r="E853" s="125"/>
      <c r="F853" s="125"/>
      <c r="J853" s="125"/>
      <c r="K853" s="125"/>
    </row>
    <row r="854">
      <c r="D854" s="125"/>
      <c r="E854" s="125"/>
      <c r="F854" s="125"/>
      <c r="J854" s="125"/>
      <c r="K854" s="125"/>
    </row>
    <row r="855">
      <c r="D855" s="125"/>
      <c r="E855" s="125"/>
      <c r="F855" s="125"/>
      <c r="J855" s="125"/>
      <c r="K855" s="125"/>
    </row>
    <row r="856">
      <c r="D856" s="125"/>
      <c r="E856" s="125"/>
      <c r="F856" s="125"/>
      <c r="J856" s="125"/>
      <c r="K856" s="125"/>
    </row>
    <row r="857">
      <c r="D857" s="125"/>
      <c r="E857" s="125"/>
      <c r="F857" s="125"/>
      <c r="J857" s="125"/>
      <c r="K857" s="125"/>
    </row>
    <row r="858">
      <c r="D858" s="125"/>
      <c r="E858" s="125"/>
      <c r="F858" s="125"/>
      <c r="J858" s="125"/>
      <c r="K858" s="125"/>
    </row>
    <row r="859">
      <c r="D859" s="125"/>
      <c r="E859" s="125"/>
      <c r="F859" s="125"/>
      <c r="J859" s="125"/>
      <c r="K859" s="125"/>
    </row>
    <row r="860">
      <c r="D860" s="125"/>
      <c r="E860" s="125"/>
      <c r="F860" s="125"/>
      <c r="J860" s="125"/>
      <c r="K860" s="125"/>
    </row>
    <row r="861">
      <c r="D861" s="125"/>
      <c r="E861" s="125"/>
      <c r="F861" s="125"/>
      <c r="J861" s="125"/>
      <c r="K861" s="125"/>
    </row>
    <row r="862">
      <c r="D862" s="125"/>
      <c r="E862" s="125"/>
      <c r="F862" s="125"/>
      <c r="J862" s="125"/>
      <c r="K862" s="125"/>
    </row>
    <row r="863">
      <c r="D863" s="125"/>
      <c r="E863" s="125"/>
      <c r="F863" s="125"/>
      <c r="J863" s="125"/>
      <c r="K863" s="125"/>
    </row>
    <row r="864">
      <c r="D864" s="125"/>
      <c r="E864" s="125"/>
      <c r="F864" s="125"/>
      <c r="J864" s="125"/>
      <c r="K864" s="125"/>
    </row>
    <row r="865">
      <c r="D865" s="125"/>
      <c r="E865" s="125"/>
      <c r="F865" s="125"/>
      <c r="J865" s="125"/>
      <c r="K865" s="125"/>
    </row>
    <row r="866">
      <c r="D866" s="125"/>
      <c r="E866" s="125"/>
      <c r="F866" s="125"/>
      <c r="J866" s="125"/>
      <c r="K866" s="125"/>
    </row>
    <row r="867">
      <c r="D867" s="125"/>
      <c r="E867" s="125"/>
      <c r="F867" s="125"/>
      <c r="J867" s="125"/>
      <c r="K867" s="125"/>
    </row>
    <row r="868">
      <c r="D868" s="125"/>
      <c r="E868" s="125"/>
      <c r="F868" s="125"/>
      <c r="J868" s="125"/>
      <c r="K868" s="125"/>
    </row>
    <row r="869">
      <c r="D869" s="125"/>
      <c r="E869" s="125"/>
      <c r="F869" s="125"/>
      <c r="J869" s="125"/>
      <c r="K869" s="125"/>
    </row>
    <row r="870">
      <c r="D870" s="125"/>
      <c r="E870" s="125"/>
      <c r="F870" s="125"/>
      <c r="J870" s="125"/>
      <c r="K870" s="125"/>
    </row>
    <row r="871">
      <c r="D871" s="125"/>
      <c r="E871" s="125"/>
      <c r="F871" s="125"/>
      <c r="J871" s="125"/>
      <c r="K871" s="125"/>
    </row>
    <row r="872">
      <c r="D872" s="125"/>
      <c r="E872" s="125"/>
      <c r="F872" s="125"/>
      <c r="J872" s="125"/>
      <c r="K872" s="125"/>
    </row>
    <row r="873">
      <c r="D873" s="125"/>
      <c r="E873" s="125"/>
      <c r="F873" s="125"/>
      <c r="J873" s="125"/>
      <c r="K873" s="125"/>
    </row>
    <row r="874">
      <c r="D874" s="125"/>
      <c r="E874" s="125"/>
      <c r="F874" s="125"/>
      <c r="J874" s="125"/>
      <c r="K874" s="125"/>
    </row>
    <row r="875">
      <c r="D875" s="125"/>
      <c r="E875" s="125"/>
      <c r="F875" s="125"/>
      <c r="J875" s="125"/>
      <c r="K875" s="125"/>
    </row>
    <row r="876">
      <c r="D876" s="125"/>
      <c r="E876" s="125"/>
      <c r="F876" s="125"/>
      <c r="J876" s="125"/>
      <c r="K876" s="125"/>
    </row>
    <row r="877">
      <c r="D877" s="125"/>
      <c r="E877" s="125"/>
      <c r="F877" s="125"/>
      <c r="J877" s="125"/>
      <c r="K877" s="125"/>
    </row>
    <row r="878">
      <c r="D878" s="125"/>
      <c r="E878" s="125"/>
      <c r="F878" s="125"/>
      <c r="J878" s="125"/>
      <c r="K878" s="125"/>
    </row>
    <row r="879">
      <c r="D879" s="125"/>
      <c r="E879" s="125"/>
      <c r="F879" s="125"/>
      <c r="J879" s="125"/>
      <c r="K879" s="125"/>
    </row>
    <row r="880">
      <c r="D880" s="125"/>
      <c r="E880" s="125"/>
      <c r="F880" s="125"/>
      <c r="J880" s="125"/>
      <c r="K880" s="125"/>
    </row>
    <row r="881">
      <c r="D881" s="125"/>
      <c r="E881" s="125"/>
      <c r="F881" s="125"/>
      <c r="J881" s="125"/>
      <c r="K881" s="125"/>
    </row>
    <row r="882">
      <c r="D882" s="125"/>
      <c r="E882" s="125"/>
      <c r="F882" s="125"/>
      <c r="J882" s="125"/>
      <c r="K882" s="125"/>
    </row>
    <row r="883">
      <c r="D883" s="125"/>
      <c r="E883" s="125"/>
      <c r="F883" s="125"/>
      <c r="J883" s="125"/>
      <c r="K883" s="125"/>
    </row>
    <row r="884">
      <c r="D884" s="125"/>
      <c r="E884" s="125"/>
      <c r="F884" s="125"/>
      <c r="J884" s="125"/>
      <c r="K884" s="125"/>
    </row>
    <row r="885">
      <c r="D885" s="125"/>
      <c r="E885" s="125"/>
      <c r="F885" s="125"/>
      <c r="J885" s="125"/>
      <c r="K885" s="125"/>
    </row>
    <row r="886">
      <c r="D886" s="125"/>
      <c r="E886" s="125"/>
      <c r="F886" s="125"/>
      <c r="J886" s="125"/>
      <c r="K886" s="125"/>
    </row>
    <row r="887">
      <c r="D887" s="125"/>
      <c r="E887" s="125"/>
      <c r="F887" s="125"/>
      <c r="J887" s="125"/>
      <c r="K887" s="125"/>
    </row>
    <row r="888">
      <c r="D888" s="125"/>
      <c r="E888" s="125"/>
      <c r="F888" s="125"/>
      <c r="J888" s="125"/>
      <c r="K888" s="125"/>
    </row>
    <row r="889">
      <c r="D889" s="125"/>
      <c r="E889" s="125"/>
      <c r="F889" s="125"/>
      <c r="J889" s="125"/>
      <c r="K889" s="125"/>
    </row>
    <row r="890">
      <c r="D890" s="125"/>
      <c r="E890" s="125"/>
      <c r="F890" s="125"/>
      <c r="J890" s="125"/>
      <c r="K890" s="125"/>
    </row>
    <row r="891">
      <c r="D891" s="125"/>
      <c r="E891" s="125"/>
      <c r="F891" s="125"/>
      <c r="J891" s="125"/>
      <c r="K891" s="125"/>
    </row>
    <row r="892">
      <c r="D892" s="125"/>
      <c r="E892" s="125"/>
      <c r="F892" s="125"/>
      <c r="J892" s="125"/>
      <c r="K892" s="125"/>
    </row>
    <row r="893">
      <c r="D893" s="125"/>
      <c r="E893" s="125"/>
      <c r="F893" s="125"/>
      <c r="J893" s="125"/>
      <c r="K893" s="125"/>
    </row>
    <row r="894">
      <c r="D894" s="125"/>
      <c r="E894" s="125"/>
      <c r="F894" s="125"/>
      <c r="J894" s="125"/>
      <c r="K894" s="125"/>
    </row>
    <row r="895">
      <c r="D895" s="125"/>
      <c r="E895" s="125"/>
      <c r="F895" s="125"/>
      <c r="J895" s="125"/>
      <c r="K895" s="125"/>
    </row>
    <row r="896">
      <c r="D896" s="125"/>
      <c r="E896" s="125"/>
      <c r="F896" s="125"/>
      <c r="J896" s="125"/>
      <c r="K896" s="125"/>
    </row>
    <row r="897">
      <c r="D897" s="125"/>
      <c r="E897" s="125"/>
      <c r="F897" s="125"/>
      <c r="J897" s="125"/>
      <c r="K897" s="125"/>
    </row>
    <row r="898">
      <c r="D898" s="125"/>
      <c r="E898" s="125"/>
      <c r="F898" s="125"/>
      <c r="J898" s="125"/>
      <c r="K898" s="125"/>
    </row>
    <row r="899">
      <c r="D899" s="125"/>
      <c r="E899" s="125"/>
      <c r="F899" s="125"/>
      <c r="J899" s="125"/>
      <c r="K899" s="125"/>
    </row>
    <row r="900">
      <c r="D900" s="125"/>
      <c r="E900" s="125"/>
      <c r="F900" s="125"/>
      <c r="J900" s="125"/>
      <c r="K900" s="125"/>
    </row>
    <row r="901">
      <c r="D901" s="125"/>
      <c r="E901" s="125"/>
      <c r="F901" s="125"/>
      <c r="J901" s="125"/>
      <c r="K901" s="125"/>
    </row>
    <row r="902">
      <c r="D902" s="125"/>
      <c r="E902" s="125"/>
      <c r="F902" s="125"/>
      <c r="J902" s="125"/>
      <c r="K902" s="125"/>
    </row>
    <row r="903">
      <c r="D903" s="125"/>
      <c r="E903" s="125"/>
      <c r="F903" s="125"/>
      <c r="J903" s="125"/>
      <c r="K903" s="125"/>
    </row>
    <row r="904">
      <c r="D904" s="125"/>
      <c r="E904" s="125"/>
      <c r="F904" s="125"/>
      <c r="J904" s="125"/>
      <c r="K904" s="125"/>
    </row>
    <row r="905">
      <c r="D905" s="125"/>
      <c r="E905" s="125"/>
      <c r="F905" s="125"/>
      <c r="J905" s="125"/>
      <c r="K905" s="125"/>
    </row>
    <row r="906">
      <c r="D906" s="125"/>
      <c r="E906" s="125"/>
      <c r="F906" s="125"/>
      <c r="J906" s="125"/>
      <c r="K906" s="125"/>
    </row>
    <row r="907">
      <c r="D907" s="125"/>
      <c r="E907" s="125"/>
      <c r="F907" s="125"/>
      <c r="J907" s="125"/>
      <c r="K907" s="125"/>
    </row>
    <row r="908">
      <c r="D908" s="125"/>
      <c r="E908" s="125"/>
      <c r="F908" s="125"/>
      <c r="J908" s="125"/>
      <c r="K908" s="125"/>
    </row>
    <row r="909">
      <c r="D909" s="125"/>
      <c r="E909" s="125"/>
      <c r="F909" s="125"/>
      <c r="J909" s="125"/>
      <c r="K909" s="125"/>
    </row>
    <row r="910">
      <c r="D910" s="125"/>
      <c r="E910" s="125"/>
      <c r="F910" s="125"/>
      <c r="J910" s="125"/>
      <c r="K910" s="125"/>
    </row>
    <row r="911">
      <c r="D911" s="125"/>
      <c r="E911" s="125"/>
      <c r="F911" s="125"/>
      <c r="J911" s="125"/>
      <c r="K911" s="125"/>
    </row>
    <row r="912">
      <c r="D912" s="125"/>
      <c r="E912" s="125"/>
      <c r="F912" s="125"/>
      <c r="J912" s="125"/>
      <c r="K912" s="125"/>
    </row>
    <row r="913">
      <c r="D913" s="125"/>
      <c r="E913" s="125"/>
      <c r="F913" s="125"/>
      <c r="J913" s="125"/>
      <c r="K913" s="125"/>
    </row>
    <row r="914">
      <c r="D914" s="125"/>
      <c r="E914" s="125"/>
      <c r="F914" s="125"/>
      <c r="J914" s="125"/>
      <c r="K914" s="125"/>
    </row>
    <row r="915">
      <c r="D915" s="125"/>
      <c r="E915" s="125"/>
      <c r="F915" s="125"/>
      <c r="J915" s="125"/>
      <c r="K915" s="125"/>
    </row>
    <row r="916">
      <c r="D916" s="125"/>
      <c r="E916" s="125"/>
      <c r="F916" s="125"/>
      <c r="J916" s="125"/>
      <c r="K916" s="125"/>
    </row>
    <row r="917">
      <c r="D917" s="125"/>
      <c r="E917" s="125"/>
      <c r="F917" s="125"/>
      <c r="J917" s="125"/>
      <c r="K917" s="125"/>
    </row>
    <row r="918">
      <c r="D918" s="125"/>
      <c r="E918" s="125"/>
      <c r="F918" s="125"/>
      <c r="J918" s="125"/>
      <c r="K918" s="125"/>
    </row>
    <row r="919">
      <c r="D919" s="125"/>
      <c r="E919" s="125"/>
      <c r="F919" s="125"/>
      <c r="J919" s="125"/>
      <c r="K919" s="125"/>
    </row>
    <row r="920">
      <c r="D920" s="125"/>
      <c r="E920" s="125"/>
      <c r="F920" s="125"/>
      <c r="J920" s="125"/>
      <c r="K920" s="125"/>
    </row>
    <row r="921">
      <c r="D921" s="125"/>
      <c r="E921" s="125"/>
      <c r="F921" s="125"/>
      <c r="J921" s="125"/>
      <c r="K921" s="125"/>
    </row>
    <row r="922">
      <c r="D922" s="125"/>
      <c r="E922" s="125"/>
      <c r="F922" s="125"/>
      <c r="J922" s="125"/>
      <c r="K922" s="125"/>
    </row>
    <row r="923">
      <c r="D923" s="125"/>
      <c r="E923" s="125"/>
      <c r="F923" s="125"/>
      <c r="J923" s="125"/>
      <c r="K923" s="125"/>
    </row>
    <row r="924">
      <c r="D924" s="125"/>
      <c r="E924" s="125"/>
      <c r="F924" s="125"/>
      <c r="J924" s="125"/>
      <c r="K924" s="125"/>
    </row>
    <row r="925">
      <c r="D925" s="125"/>
      <c r="E925" s="125"/>
      <c r="F925" s="125"/>
      <c r="J925" s="125"/>
      <c r="K925" s="125"/>
    </row>
    <row r="926">
      <c r="D926" s="125"/>
      <c r="E926" s="125"/>
      <c r="F926" s="125"/>
      <c r="J926" s="125"/>
      <c r="K926" s="125"/>
    </row>
    <row r="927">
      <c r="D927" s="125"/>
      <c r="E927" s="125"/>
      <c r="F927" s="125"/>
      <c r="J927" s="125"/>
      <c r="K927" s="125"/>
    </row>
    <row r="928">
      <c r="D928" s="125"/>
      <c r="E928" s="125"/>
      <c r="F928" s="125"/>
      <c r="J928" s="125"/>
      <c r="K928" s="125"/>
    </row>
    <row r="929">
      <c r="D929" s="125"/>
      <c r="E929" s="125"/>
      <c r="F929" s="125"/>
      <c r="J929" s="125"/>
      <c r="K929" s="125"/>
    </row>
    <row r="930">
      <c r="D930" s="125"/>
      <c r="E930" s="125"/>
      <c r="F930" s="125"/>
      <c r="J930" s="125"/>
      <c r="K930" s="125"/>
    </row>
    <row r="931">
      <c r="D931" s="125"/>
      <c r="E931" s="125"/>
      <c r="F931" s="125"/>
      <c r="J931" s="125"/>
      <c r="K931" s="125"/>
    </row>
    <row r="932">
      <c r="D932" s="125"/>
      <c r="E932" s="125"/>
      <c r="F932" s="125"/>
      <c r="J932" s="125"/>
      <c r="K932" s="125"/>
    </row>
    <row r="933">
      <c r="D933" s="125"/>
      <c r="E933" s="125"/>
      <c r="F933" s="125"/>
      <c r="J933" s="125"/>
      <c r="K933" s="125"/>
    </row>
    <row r="934">
      <c r="D934" s="125"/>
      <c r="E934" s="125"/>
      <c r="F934" s="125"/>
      <c r="J934" s="125"/>
      <c r="K934" s="125"/>
    </row>
    <row r="935">
      <c r="D935" s="125"/>
      <c r="E935" s="125"/>
      <c r="F935" s="125"/>
      <c r="J935" s="125"/>
      <c r="K935" s="125"/>
    </row>
    <row r="936">
      <c r="D936" s="125"/>
      <c r="E936" s="125"/>
      <c r="F936" s="125"/>
      <c r="J936" s="125"/>
      <c r="K936" s="125"/>
    </row>
    <row r="937">
      <c r="D937" s="125"/>
      <c r="E937" s="125"/>
      <c r="F937" s="125"/>
      <c r="J937" s="125"/>
      <c r="K937" s="125"/>
    </row>
    <row r="938">
      <c r="D938" s="125"/>
      <c r="E938" s="125"/>
      <c r="F938" s="125"/>
      <c r="J938" s="125"/>
      <c r="K938" s="125"/>
    </row>
    <row r="939">
      <c r="D939" s="125"/>
      <c r="E939" s="125"/>
      <c r="F939" s="125"/>
      <c r="J939" s="125"/>
      <c r="K939" s="125"/>
    </row>
    <row r="940">
      <c r="D940" s="125"/>
      <c r="E940" s="125"/>
      <c r="F940" s="125"/>
      <c r="J940" s="125"/>
      <c r="K940" s="125"/>
    </row>
    <row r="941">
      <c r="D941" s="125"/>
      <c r="E941" s="125"/>
      <c r="F941" s="125"/>
      <c r="J941" s="125"/>
      <c r="K941" s="125"/>
    </row>
    <row r="942">
      <c r="D942" s="125"/>
      <c r="E942" s="125"/>
      <c r="F942" s="125"/>
      <c r="J942" s="125"/>
      <c r="K942" s="125"/>
    </row>
    <row r="943">
      <c r="D943" s="125"/>
      <c r="E943" s="125"/>
      <c r="F943" s="125"/>
      <c r="J943" s="125"/>
      <c r="K943" s="125"/>
    </row>
    <row r="944">
      <c r="D944" s="125"/>
      <c r="E944" s="125"/>
      <c r="F944" s="125"/>
      <c r="J944" s="125"/>
      <c r="K944" s="125"/>
    </row>
    <row r="945">
      <c r="D945" s="125"/>
      <c r="E945" s="125"/>
      <c r="F945" s="125"/>
      <c r="J945" s="125"/>
      <c r="K945" s="125"/>
    </row>
    <row r="946">
      <c r="D946" s="125"/>
      <c r="E946" s="125"/>
      <c r="F946" s="125"/>
      <c r="J946" s="125"/>
      <c r="K946" s="125"/>
    </row>
    <row r="947">
      <c r="D947" s="125"/>
      <c r="E947" s="125"/>
      <c r="F947" s="125"/>
      <c r="J947" s="125"/>
      <c r="K947" s="125"/>
    </row>
    <row r="948">
      <c r="D948" s="125"/>
      <c r="E948" s="125"/>
      <c r="F948" s="125"/>
      <c r="J948" s="125"/>
      <c r="K948" s="125"/>
    </row>
    <row r="949">
      <c r="D949" s="125"/>
      <c r="E949" s="125"/>
      <c r="F949" s="125"/>
      <c r="J949" s="125"/>
      <c r="K949" s="125"/>
    </row>
    <row r="950">
      <c r="D950" s="125"/>
      <c r="E950" s="125"/>
      <c r="F950" s="125"/>
      <c r="J950" s="125"/>
      <c r="K950" s="125"/>
    </row>
    <row r="951">
      <c r="D951" s="125"/>
      <c r="E951" s="125"/>
      <c r="F951" s="125"/>
      <c r="J951" s="125"/>
      <c r="K951" s="125"/>
    </row>
    <row r="952">
      <c r="D952" s="125"/>
      <c r="E952" s="125"/>
      <c r="F952" s="125"/>
      <c r="J952" s="125"/>
      <c r="K952" s="125"/>
    </row>
    <row r="953">
      <c r="D953" s="125"/>
      <c r="E953" s="125"/>
      <c r="F953" s="125"/>
      <c r="J953" s="125"/>
      <c r="K953" s="125"/>
    </row>
    <row r="954">
      <c r="D954" s="125"/>
      <c r="E954" s="125"/>
      <c r="F954" s="125"/>
      <c r="J954" s="125"/>
      <c r="K954" s="125"/>
    </row>
    <row r="955">
      <c r="D955" s="125"/>
      <c r="E955" s="125"/>
      <c r="F955" s="125"/>
      <c r="J955" s="125"/>
      <c r="K955" s="125"/>
    </row>
    <row r="956">
      <c r="D956" s="125"/>
      <c r="E956" s="125"/>
      <c r="F956" s="125"/>
      <c r="J956" s="125"/>
      <c r="K956" s="125"/>
    </row>
    <row r="957">
      <c r="D957" s="125"/>
      <c r="E957" s="125"/>
      <c r="F957" s="125"/>
      <c r="J957" s="125"/>
      <c r="K957" s="125"/>
    </row>
    <row r="958">
      <c r="D958" s="125"/>
      <c r="E958" s="125"/>
      <c r="F958" s="125"/>
      <c r="J958" s="125"/>
      <c r="K958" s="125"/>
    </row>
    <row r="959">
      <c r="D959" s="125"/>
      <c r="E959" s="125"/>
      <c r="F959" s="125"/>
      <c r="J959" s="125"/>
      <c r="K959" s="125"/>
    </row>
    <row r="960">
      <c r="D960" s="125"/>
      <c r="E960" s="125"/>
      <c r="F960" s="125"/>
      <c r="J960" s="125"/>
      <c r="K960" s="125"/>
    </row>
    <row r="961">
      <c r="D961" s="125"/>
      <c r="E961" s="125"/>
      <c r="F961" s="125"/>
      <c r="J961" s="125"/>
      <c r="K961" s="125"/>
    </row>
    <row r="962">
      <c r="D962" s="125"/>
      <c r="E962" s="125"/>
      <c r="F962" s="125"/>
      <c r="J962" s="125"/>
      <c r="K962" s="125"/>
    </row>
    <row r="963">
      <c r="D963" s="125"/>
      <c r="E963" s="125"/>
      <c r="F963" s="125"/>
      <c r="J963" s="125"/>
      <c r="K963" s="125"/>
    </row>
    <row r="964">
      <c r="D964" s="125"/>
      <c r="E964" s="125"/>
      <c r="F964" s="125"/>
      <c r="J964" s="125"/>
      <c r="K964" s="125"/>
    </row>
    <row r="965">
      <c r="D965" s="125"/>
      <c r="E965" s="125"/>
      <c r="F965" s="125"/>
      <c r="J965" s="125"/>
      <c r="K965" s="125"/>
    </row>
    <row r="966">
      <c r="D966" s="125"/>
      <c r="E966" s="125"/>
      <c r="F966" s="125"/>
      <c r="J966" s="125"/>
      <c r="K966" s="125"/>
    </row>
    <row r="967">
      <c r="D967" s="125"/>
      <c r="E967" s="125"/>
      <c r="F967" s="125"/>
      <c r="J967" s="125"/>
      <c r="K967" s="125"/>
    </row>
    <row r="968">
      <c r="D968" s="125"/>
      <c r="E968" s="125"/>
      <c r="F968" s="125"/>
      <c r="J968" s="125"/>
      <c r="K968" s="125"/>
    </row>
    <row r="969">
      <c r="D969" s="125"/>
      <c r="E969" s="125"/>
      <c r="F969" s="125"/>
      <c r="J969" s="125"/>
      <c r="K969" s="125"/>
    </row>
    <row r="970">
      <c r="D970" s="125"/>
      <c r="E970" s="125"/>
      <c r="F970" s="125"/>
      <c r="J970" s="125"/>
      <c r="K970" s="125"/>
    </row>
    <row r="971">
      <c r="D971" s="125"/>
      <c r="E971" s="125"/>
      <c r="F971" s="125"/>
      <c r="J971" s="125"/>
      <c r="K971" s="125"/>
    </row>
    <row r="972">
      <c r="D972" s="125"/>
      <c r="E972" s="125"/>
      <c r="F972" s="125"/>
      <c r="J972" s="125"/>
      <c r="K972" s="125"/>
    </row>
    <row r="973">
      <c r="D973" s="125"/>
      <c r="E973" s="125"/>
      <c r="F973" s="125"/>
      <c r="J973" s="125"/>
      <c r="K973" s="125"/>
    </row>
    <row r="974">
      <c r="D974" s="125"/>
      <c r="E974" s="125"/>
      <c r="F974" s="125"/>
      <c r="J974" s="125"/>
      <c r="K974" s="125"/>
    </row>
    <row r="975">
      <c r="D975" s="125"/>
      <c r="E975" s="125"/>
      <c r="F975" s="125"/>
      <c r="J975" s="125"/>
      <c r="K975" s="125"/>
    </row>
    <row r="976">
      <c r="D976" s="125"/>
      <c r="E976" s="125"/>
      <c r="F976" s="125"/>
      <c r="J976" s="125"/>
      <c r="K976" s="125"/>
    </row>
    <row r="977">
      <c r="D977" s="125"/>
      <c r="E977" s="125"/>
      <c r="F977" s="125"/>
      <c r="J977" s="125"/>
      <c r="K977" s="125"/>
    </row>
    <row r="978">
      <c r="D978" s="125"/>
      <c r="E978" s="125"/>
      <c r="F978" s="125"/>
      <c r="J978" s="125"/>
      <c r="K978" s="125"/>
    </row>
    <row r="979">
      <c r="D979" s="125"/>
      <c r="E979" s="125"/>
      <c r="F979" s="125"/>
      <c r="J979" s="125"/>
      <c r="K979" s="125"/>
    </row>
    <row r="980">
      <c r="D980" s="125"/>
      <c r="E980" s="125"/>
      <c r="F980" s="125"/>
      <c r="J980" s="125"/>
      <c r="K980" s="125"/>
    </row>
    <row r="981">
      <c r="D981" s="125"/>
      <c r="E981" s="125"/>
      <c r="F981" s="125"/>
      <c r="J981" s="125"/>
      <c r="K981" s="125"/>
    </row>
    <row r="982">
      <c r="D982" s="125"/>
      <c r="E982" s="125"/>
      <c r="F982" s="125"/>
      <c r="J982" s="125"/>
      <c r="K982" s="125"/>
    </row>
    <row r="983">
      <c r="D983" s="125"/>
      <c r="E983" s="125"/>
      <c r="F983" s="125"/>
      <c r="J983" s="125"/>
      <c r="K983" s="125"/>
    </row>
    <row r="984">
      <c r="D984" s="125"/>
      <c r="E984" s="125"/>
      <c r="F984" s="125"/>
      <c r="J984" s="125"/>
      <c r="K984" s="125"/>
    </row>
    <row r="985">
      <c r="D985" s="125"/>
      <c r="E985" s="125"/>
      <c r="F985" s="125"/>
      <c r="J985" s="125"/>
      <c r="K985" s="125"/>
    </row>
    <row r="986">
      <c r="D986" s="125"/>
      <c r="E986" s="125"/>
      <c r="F986" s="125"/>
      <c r="J986" s="125"/>
      <c r="K986" s="125"/>
    </row>
    <row r="987">
      <c r="D987" s="125"/>
      <c r="E987" s="125"/>
      <c r="F987" s="125"/>
      <c r="J987" s="125"/>
      <c r="K987" s="125"/>
    </row>
    <row r="988">
      <c r="D988" s="125"/>
      <c r="E988" s="125"/>
      <c r="F988" s="125"/>
      <c r="J988" s="125"/>
      <c r="K988" s="125"/>
    </row>
    <row r="989">
      <c r="D989" s="125"/>
      <c r="E989" s="125"/>
      <c r="F989" s="125"/>
      <c r="J989" s="125"/>
      <c r="K989" s="125"/>
    </row>
    <row r="990">
      <c r="D990" s="125"/>
      <c r="E990" s="125"/>
      <c r="F990" s="125"/>
      <c r="J990" s="125"/>
      <c r="K990" s="125"/>
    </row>
    <row r="991">
      <c r="D991" s="125"/>
      <c r="E991" s="125"/>
      <c r="F991" s="125"/>
      <c r="J991" s="125"/>
      <c r="K991" s="125"/>
    </row>
    <row r="992">
      <c r="D992" s="125"/>
      <c r="E992" s="125"/>
      <c r="F992" s="125"/>
      <c r="J992" s="125"/>
      <c r="K992" s="125"/>
    </row>
    <row r="993">
      <c r="D993" s="125"/>
      <c r="E993" s="125"/>
      <c r="F993" s="125"/>
      <c r="J993" s="125"/>
      <c r="K993" s="125"/>
    </row>
    <row r="994">
      <c r="D994" s="125"/>
      <c r="E994" s="125"/>
      <c r="F994" s="125"/>
      <c r="J994" s="125"/>
      <c r="K994" s="125"/>
    </row>
    <row r="995">
      <c r="D995" s="125"/>
      <c r="E995" s="125"/>
      <c r="F995" s="125"/>
      <c r="J995" s="125"/>
      <c r="K995" s="125"/>
    </row>
    <row r="996">
      <c r="D996" s="125"/>
      <c r="E996" s="125"/>
      <c r="F996" s="125"/>
      <c r="J996" s="125"/>
      <c r="K996" s="125"/>
    </row>
    <row r="997">
      <c r="D997" s="125"/>
      <c r="E997" s="125"/>
      <c r="F997" s="125"/>
      <c r="J997" s="125"/>
      <c r="K997" s="125"/>
    </row>
    <row r="998">
      <c r="D998" s="125"/>
      <c r="E998" s="125"/>
      <c r="F998" s="125"/>
      <c r="J998" s="125"/>
      <c r="K998" s="125"/>
    </row>
    <row r="999">
      <c r="D999" s="125"/>
      <c r="E999" s="125"/>
      <c r="F999" s="125"/>
      <c r="J999" s="125"/>
      <c r="K999" s="125"/>
    </row>
    <row r="1000">
      <c r="D1000" s="125"/>
      <c r="E1000" s="125"/>
      <c r="F1000" s="125"/>
      <c r="J1000" s="125"/>
      <c r="K1000" s="125"/>
    </row>
    <row r="1001">
      <c r="D1001" s="125"/>
      <c r="E1001" s="125"/>
      <c r="F1001" s="125"/>
      <c r="J1001" s="125"/>
      <c r="K1001" s="125"/>
    </row>
    <row r="1002">
      <c r="D1002" s="125"/>
      <c r="E1002" s="125"/>
      <c r="F1002" s="125"/>
      <c r="J1002" s="125"/>
      <c r="K1002" s="125"/>
    </row>
    <row r="1003">
      <c r="D1003" s="125"/>
      <c r="E1003" s="125"/>
      <c r="F1003" s="125"/>
      <c r="J1003" s="125"/>
      <c r="K1003" s="125"/>
    </row>
    <row r="1004">
      <c r="D1004" s="125"/>
      <c r="E1004" s="125"/>
      <c r="F1004" s="125"/>
      <c r="J1004" s="125"/>
      <c r="K1004" s="125"/>
    </row>
    <row r="1005">
      <c r="D1005" s="125"/>
      <c r="E1005" s="125"/>
      <c r="F1005" s="125"/>
      <c r="J1005" s="125"/>
      <c r="K1005" s="125"/>
    </row>
    <row r="1006">
      <c r="D1006" s="125"/>
      <c r="E1006" s="125"/>
      <c r="F1006" s="125"/>
      <c r="J1006" s="125"/>
      <c r="K1006" s="125"/>
    </row>
    <row r="1007">
      <c r="D1007" s="125"/>
      <c r="E1007" s="125"/>
      <c r="F1007" s="125"/>
      <c r="J1007" s="125"/>
      <c r="K1007" s="125"/>
    </row>
    <row r="1008">
      <c r="D1008" s="125"/>
      <c r="E1008" s="125"/>
      <c r="F1008" s="125"/>
      <c r="J1008" s="125"/>
      <c r="K1008" s="125"/>
    </row>
    <row r="1009">
      <c r="D1009" s="125"/>
      <c r="E1009" s="125"/>
      <c r="F1009" s="125"/>
      <c r="J1009" s="125"/>
      <c r="K1009" s="125"/>
    </row>
    <row r="1010">
      <c r="D1010" s="125"/>
      <c r="E1010" s="125"/>
      <c r="F1010" s="125"/>
      <c r="J1010" s="125"/>
      <c r="K1010" s="125"/>
    </row>
    <row r="1011">
      <c r="D1011" s="125"/>
      <c r="E1011" s="125"/>
      <c r="F1011" s="125"/>
      <c r="J1011" s="125"/>
      <c r="K1011" s="125"/>
    </row>
    <row r="1012">
      <c r="D1012" s="125"/>
      <c r="E1012" s="125"/>
      <c r="F1012" s="125"/>
      <c r="J1012" s="125"/>
      <c r="K1012" s="125"/>
    </row>
    <row r="1013">
      <c r="D1013" s="125"/>
      <c r="E1013" s="125"/>
      <c r="F1013" s="125"/>
      <c r="J1013" s="125"/>
      <c r="K1013" s="125"/>
    </row>
    <row r="1014">
      <c r="D1014" s="125"/>
      <c r="E1014" s="125"/>
      <c r="F1014" s="125"/>
      <c r="J1014" s="125"/>
      <c r="K1014" s="125"/>
    </row>
    <row r="1015">
      <c r="D1015" s="125"/>
      <c r="E1015" s="125"/>
      <c r="F1015" s="125"/>
      <c r="J1015" s="125"/>
      <c r="K1015" s="125"/>
    </row>
    <row r="1016">
      <c r="D1016" s="125"/>
      <c r="E1016" s="125"/>
      <c r="F1016" s="125"/>
      <c r="J1016" s="125"/>
      <c r="K1016" s="125"/>
    </row>
    <row r="1017">
      <c r="D1017" s="125"/>
      <c r="E1017" s="125"/>
      <c r="F1017" s="125"/>
      <c r="J1017" s="125"/>
      <c r="K1017" s="125"/>
    </row>
    <row r="1018">
      <c r="D1018" s="125"/>
      <c r="E1018" s="125"/>
      <c r="F1018" s="125"/>
      <c r="J1018" s="125"/>
      <c r="K1018" s="125"/>
    </row>
    <row r="1019">
      <c r="D1019" s="125"/>
      <c r="E1019" s="125"/>
      <c r="F1019" s="125"/>
      <c r="J1019" s="125"/>
      <c r="K1019" s="125"/>
    </row>
    <row r="1020">
      <c r="D1020" s="125"/>
      <c r="E1020" s="125"/>
      <c r="F1020" s="125"/>
      <c r="J1020" s="125"/>
      <c r="K1020" s="125"/>
    </row>
  </sheetData>
  <mergeCells count="28">
    <mergeCell ref="A1:O1"/>
    <mergeCell ref="A2:O2"/>
    <mergeCell ref="A3:O3"/>
    <mergeCell ref="A4:N4"/>
    <mergeCell ref="A5:N5"/>
    <mergeCell ref="A6:O6"/>
    <mergeCell ref="C71:F71"/>
    <mergeCell ref="C72:F72"/>
    <mergeCell ref="C73:F73"/>
    <mergeCell ref="C74:F74"/>
    <mergeCell ref="C75:F75"/>
    <mergeCell ref="C76:F76"/>
    <mergeCell ref="C77:F77"/>
    <mergeCell ref="C79:F79"/>
    <mergeCell ref="B91:B92"/>
    <mergeCell ref="B93:B94"/>
    <mergeCell ref="C96:F96"/>
    <mergeCell ref="C97:F97"/>
    <mergeCell ref="C98:F98"/>
    <mergeCell ref="C99:F99"/>
    <mergeCell ref="C100:F100"/>
    <mergeCell ref="C80:F80"/>
    <mergeCell ref="C81:F81"/>
    <mergeCell ref="C82:F82"/>
    <mergeCell ref="C83:F83"/>
    <mergeCell ref="C84:F84"/>
    <mergeCell ref="B87:B88"/>
    <mergeCell ref="B89:B90"/>
  </mergeCells>
  <conditionalFormatting sqref="H8:L69">
    <cfRule type="containsBlanks" dxfId="0" priority="1">
      <formula>LEN(TRIM(H8))=0</formula>
    </cfRule>
  </conditionalFormatting>
  <conditionalFormatting sqref="H8:L69">
    <cfRule type="cellIs" dxfId="2" priority="2" operator="equal">
      <formula>"A"</formula>
    </cfRule>
  </conditionalFormatting>
  <conditionalFormatting sqref="H8:L69">
    <cfRule type="cellIs" dxfId="1" priority="3" operator="lessThan">
      <formula>50</formula>
    </cfRule>
  </conditionalFormatting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8.5"/>
    <col customWidth="1" min="2" max="2" width="12.88"/>
    <col customWidth="1" min="3" max="3" width="35.88"/>
    <col customWidth="1" min="4" max="4" width="5.25"/>
    <col customWidth="1" min="5" max="5" width="4.75"/>
    <col customWidth="1" min="6" max="6" width="6.5"/>
    <col hidden="1" min="7" max="7" width="12.63"/>
    <col customWidth="1" min="8" max="8" width="7.0"/>
    <col customWidth="1" min="9" max="9" width="8.38"/>
    <col customWidth="1" min="10" max="10" width="8.25"/>
    <col customWidth="1" min="11" max="11" width="7.88"/>
    <col customWidth="1" min="12" max="12" width="11.63"/>
    <col customWidth="1" min="13" max="13" width="9.38"/>
    <col customWidth="1" min="14" max="14" width="9.13"/>
    <col hidden="1" min="15" max="16" width="12.63"/>
    <col customWidth="1" min="17" max="17" width="7.5"/>
  </cols>
  <sheetData>
    <row r="1">
      <c r="A1" s="1" t="s">
        <v>0</v>
      </c>
      <c r="P1" s="2"/>
      <c r="Q1" s="2"/>
    </row>
    <row r="2">
      <c r="A2" s="3" t="s">
        <v>1</v>
      </c>
      <c r="P2" s="2"/>
      <c r="Q2" s="2"/>
    </row>
    <row r="3">
      <c r="A3" s="4" t="s">
        <v>2</v>
      </c>
      <c r="P3" s="2"/>
      <c r="Q3" s="2"/>
    </row>
    <row r="4">
      <c r="A4" s="5" t="s">
        <v>3</v>
      </c>
      <c r="O4" s="6"/>
      <c r="P4" s="2"/>
      <c r="Q4" s="2"/>
    </row>
    <row r="5">
      <c r="A5" s="7" t="s">
        <v>4</v>
      </c>
      <c r="O5" s="2"/>
      <c r="P5" s="2"/>
      <c r="Q5" s="2"/>
    </row>
    <row r="6">
      <c r="A6" s="8" t="s">
        <v>188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"/>
      <c r="Q6" s="2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4" t="s">
        <v>18</v>
      </c>
      <c r="N7" s="12" t="s">
        <v>19</v>
      </c>
      <c r="O7" s="126"/>
      <c r="P7" s="2" t="s">
        <v>20</v>
      </c>
      <c r="Q7" s="127" t="s">
        <v>21</v>
      </c>
    </row>
    <row r="8">
      <c r="A8" s="18">
        <v>1.0</v>
      </c>
      <c r="B8" s="19">
        <v>1.11625201125E11</v>
      </c>
      <c r="C8" s="20" t="s">
        <v>189</v>
      </c>
      <c r="D8" s="21" t="s">
        <v>23</v>
      </c>
      <c r="E8" s="21" t="s">
        <v>24</v>
      </c>
      <c r="F8" s="21" t="s">
        <v>32</v>
      </c>
      <c r="G8" s="22"/>
      <c r="H8" s="146">
        <v>97.0</v>
      </c>
      <c r="I8" s="147">
        <v>76.66666666666667</v>
      </c>
      <c r="J8" s="148">
        <v>77.0</v>
      </c>
      <c r="K8" s="26">
        <v>50.0</v>
      </c>
      <c r="L8" s="149">
        <v>83.0</v>
      </c>
      <c r="M8" s="28">
        <f t="shared" ref="M8:M69" si="1">sum(H8:L8)/5</f>
        <v>76.73333333</v>
      </c>
      <c r="N8" s="29">
        <f t="shared" ref="N8:N69" si="2">((COUNTIF((H8:L8),"&lt;50"))+(COUNTIF((H8:L8),"=A")))</f>
        <v>0</v>
      </c>
      <c r="O8" s="30" t="str">
        <f t="shared" ref="O8:O16" si="3">IF((N8&lt;1),"0","1")</f>
        <v>0</v>
      </c>
      <c r="P8" s="31">
        <f t="shared" ref="P8:P16" si="4">COUNTIF((H8:L8),"=A")</f>
        <v>0</v>
      </c>
      <c r="Q8" s="32">
        <v>100.0</v>
      </c>
      <c r="S8" s="150"/>
    </row>
    <row r="9">
      <c r="A9" s="18">
        <v>2.0</v>
      </c>
      <c r="B9" s="19">
        <v>1.11625201126E11</v>
      </c>
      <c r="C9" s="20" t="s">
        <v>190</v>
      </c>
      <c r="D9" s="21" t="s">
        <v>23</v>
      </c>
      <c r="E9" s="21" t="s">
        <v>24</v>
      </c>
      <c r="F9" s="21" t="s">
        <v>23</v>
      </c>
      <c r="G9" s="22"/>
      <c r="H9" s="146">
        <v>20.0</v>
      </c>
      <c r="I9" s="147">
        <v>50.0</v>
      </c>
      <c r="J9" s="148">
        <v>74.0</v>
      </c>
      <c r="K9" s="26">
        <v>27.0</v>
      </c>
      <c r="L9" s="149">
        <v>30.0</v>
      </c>
      <c r="M9" s="28">
        <f t="shared" si="1"/>
        <v>40.2</v>
      </c>
      <c r="N9" s="29">
        <f t="shared" si="2"/>
        <v>3</v>
      </c>
      <c r="O9" s="30" t="str">
        <f t="shared" si="3"/>
        <v>1</v>
      </c>
      <c r="P9" s="31">
        <f t="shared" si="4"/>
        <v>0</v>
      </c>
      <c r="Q9" s="32">
        <v>98.0</v>
      </c>
      <c r="S9" s="150"/>
    </row>
    <row r="10">
      <c r="A10" s="18">
        <v>3.0</v>
      </c>
      <c r="B10" s="19">
        <v>1.11625201127E11</v>
      </c>
      <c r="C10" s="20" t="s">
        <v>191</v>
      </c>
      <c r="D10" s="21" t="s">
        <v>27</v>
      </c>
      <c r="E10" s="21" t="s">
        <v>30</v>
      </c>
      <c r="F10" s="21" t="s">
        <v>32</v>
      </c>
      <c r="G10" s="22"/>
      <c r="H10" s="146">
        <v>70.0</v>
      </c>
      <c r="I10" s="147">
        <v>60.0</v>
      </c>
      <c r="J10" s="148">
        <v>63.0</v>
      </c>
      <c r="K10" s="26">
        <v>27.0</v>
      </c>
      <c r="L10" s="149">
        <v>93.0</v>
      </c>
      <c r="M10" s="28">
        <f t="shared" si="1"/>
        <v>62.6</v>
      </c>
      <c r="N10" s="29">
        <f t="shared" si="2"/>
        <v>1</v>
      </c>
      <c r="O10" s="30" t="str">
        <f t="shared" si="3"/>
        <v>1</v>
      </c>
      <c r="P10" s="31">
        <f t="shared" si="4"/>
        <v>0</v>
      </c>
      <c r="Q10" s="32">
        <v>94.0</v>
      </c>
      <c r="S10" s="150"/>
    </row>
    <row r="11">
      <c r="A11" s="18">
        <v>4.0</v>
      </c>
      <c r="B11" s="19">
        <v>1.11625201128E11</v>
      </c>
      <c r="C11" s="20" t="s">
        <v>192</v>
      </c>
      <c r="D11" s="21" t="s">
        <v>27</v>
      </c>
      <c r="E11" s="21" t="s">
        <v>24</v>
      </c>
      <c r="F11" s="21" t="s">
        <v>23</v>
      </c>
      <c r="G11" s="22"/>
      <c r="H11" s="146">
        <v>77.0</v>
      </c>
      <c r="I11" s="147">
        <v>76.66666666666667</v>
      </c>
      <c r="J11" s="151">
        <v>50.0</v>
      </c>
      <c r="K11" s="26">
        <v>70.0</v>
      </c>
      <c r="L11" s="149">
        <v>57.0</v>
      </c>
      <c r="M11" s="28">
        <f t="shared" si="1"/>
        <v>66.13333333</v>
      </c>
      <c r="N11" s="29">
        <f t="shared" si="2"/>
        <v>0</v>
      </c>
      <c r="O11" s="30" t="str">
        <f t="shared" si="3"/>
        <v>0</v>
      </c>
      <c r="P11" s="31">
        <f t="shared" si="4"/>
        <v>0</v>
      </c>
      <c r="Q11" s="32">
        <v>100.0</v>
      </c>
      <c r="S11" s="150"/>
    </row>
    <row r="12">
      <c r="A12" s="18">
        <v>5.0</v>
      </c>
      <c r="B12" s="19">
        <v>1.11625201129E11</v>
      </c>
      <c r="C12" s="20" t="s">
        <v>193</v>
      </c>
      <c r="D12" s="21" t="s">
        <v>23</v>
      </c>
      <c r="E12" s="21" t="s">
        <v>24</v>
      </c>
      <c r="F12" s="21" t="s">
        <v>32</v>
      </c>
      <c r="G12" s="22"/>
      <c r="H12" s="146">
        <v>30.0</v>
      </c>
      <c r="I12" s="152">
        <v>50.0</v>
      </c>
      <c r="J12" s="151">
        <v>27.0</v>
      </c>
      <c r="K12" s="26">
        <v>17.0</v>
      </c>
      <c r="L12" s="149">
        <v>63.0</v>
      </c>
      <c r="M12" s="28">
        <f t="shared" si="1"/>
        <v>37.4</v>
      </c>
      <c r="N12" s="29">
        <f t="shared" si="2"/>
        <v>3</v>
      </c>
      <c r="O12" s="30" t="str">
        <f t="shared" si="3"/>
        <v>1</v>
      </c>
      <c r="P12" s="31">
        <f t="shared" si="4"/>
        <v>0</v>
      </c>
      <c r="Q12" s="32">
        <v>100.0</v>
      </c>
      <c r="S12" s="150"/>
    </row>
    <row r="13">
      <c r="A13" s="18">
        <v>6.0</v>
      </c>
      <c r="B13" s="19">
        <v>1.1162520113E11</v>
      </c>
      <c r="C13" s="20" t="s">
        <v>194</v>
      </c>
      <c r="D13" s="21" t="s">
        <v>27</v>
      </c>
      <c r="E13" s="21" t="s">
        <v>24</v>
      </c>
      <c r="F13" s="21" t="s">
        <v>23</v>
      </c>
      <c r="G13" s="22"/>
      <c r="H13" s="146">
        <v>73.0</v>
      </c>
      <c r="I13" s="147">
        <v>66.66666666666666</v>
      </c>
      <c r="J13" s="151">
        <v>87.0</v>
      </c>
      <c r="K13" s="26">
        <v>87.0</v>
      </c>
      <c r="L13" s="149">
        <v>70.0</v>
      </c>
      <c r="M13" s="28">
        <f t="shared" si="1"/>
        <v>76.73333333</v>
      </c>
      <c r="N13" s="29">
        <f t="shared" si="2"/>
        <v>0</v>
      </c>
      <c r="O13" s="30" t="str">
        <f t="shared" si="3"/>
        <v>0</v>
      </c>
      <c r="P13" s="31">
        <f t="shared" si="4"/>
        <v>0</v>
      </c>
      <c r="Q13" s="32">
        <v>100.0</v>
      </c>
      <c r="S13" s="150"/>
    </row>
    <row r="14">
      <c r="A14" s="18">
        <v>7.0</v>
      </c>
      <c r="B14" s="19">
        <v>1.11625201131E11</v>
      </c>
      <c r="C14" s="20" t="s">
        <v>195</v>
      </c>
      <c r="D14" s="21" t="s">
        <v>27</v>
      </c>
      <c r="E14" s="21" t="s">
        <v>24</v>
      </c>
      <c r="F14" s="21" t="s">
        <v>32</v>
      </c>
      <c r="G14" s="22"/>
      <c r="H14" s="146">
        <v>73.0</v>
      </c>
      <c r="I14" s="147">
        <v>80.0</v>
      </c>
      <c r="J14" s="151">
        <v>83.0</v>
      </c>
      <c r="K14" s="26">
        <v>77.0</v>
      </c>
      <c r="L14" s="149">
        <v>93.0</v>
      </c>
      <c r="M14" s="28">
        <f t="shared" si="1"/>
        <v>81.2</v>
      </c>
      <c r="N14" s="29">
        <f t="shared" si="2"/>
        <v>0</v>
      </c>
      <c r="O14" s="30" t="str">
        <f t="shared" si="3"/>
        <v>0</v>
      </c>
      <c r="P14" s="31">
        <f t="shared" si="4"/>
        <v>0</v>
      </c>
      <c r="Q14" s="32">
        <v>100.0</v>
      </c>
      <c r="S14" s="150"/>
    </row>
    <row r="15">
      <c r="A15" s="18">
        <v>8.0</v>
      </c>
      <c r="B15" s="19">
        <v>1.11625201132E11</v>
      </c>
      <c r="C15" s="20" t="s">
        <v>196</v>
      </c>
      <c r="D15" s="21" t="s">
        <v>27</v>
      </c>
      <c r="E15" s="21" t="s">
        <v>30</v>
      </c>
      <c r="F15" s="21" t="s">
        <v>32</v>
      </c>
      <c r="G15" s="22"/>
      <c r="H15" s="146">
        <v>50.0</v>
      </c>
      <c r="I15" s="147">
        <v>63.33333333333333</v>
      </c>
      <c r="J15" s="151">
        <v>67.0</v>
      </c>
      <c r="K15" s="26">
        <v>53.0</v>
      </c>
      <c r="L15" s="149">
        <v>67.0</v>
      </c>
      <c r="M15" s="28">
        <f t="shared" si="1"/>
        <v>60.06666667</v>
      </c>
      <c r="N15" s="29">
        <f t="shared" si="2"/>
        <v>0</v>
      </c>
      <c r="O15" s="30" t="str">
        <f t="shared" si="3"/>
        <v>0</v>
      </c>
      <c r="P15" s="31">
        <f t="shared" si="4"/>
        <v>0</v>
      </c>
      <c r="Q15" s="32">
        <v>96.0</v>
      </c>
      <c r="S15" s="150"/>
    </row>
    <row r="16">
      <c r="A16" s="18">
        <v>9.0</v>
      </c>
      <c r="B16" s="19">
        <v>1.11625201133E11</v>
      </c>
      <c r="C16" s="20" t="s">
        <v>197</v>
      </c>
      <c r="D16" s="21" t="s">
        <v>23</v>
      </c>
      <c r="E16" s="21" t="s">
        <v>30</v>
      </c>
      <c r="F16" s="21" t="s">
        <v>32</v>
      </c>
      <c r="G16" s="22"/>
      <c r="H16" s="146">
        <v>80.0</v>
      </c>
      <c r="I16" s="147">
        <v>83.33333333333334</v>
      </c>
      <c r="J16" s="151">
        <v>53.0</v>
      </c>
      <c r="K16" s="26" t="s">
        <v>25</v>
      </c>
      <c r="L16" s="149">
        <v>80.0</v>
      </c>
      <c r="M16" s="28">
        <f t="shared" si="1"/>
        <v>59.26666667</v>
      </c>
      <c r="N16" s="29">
        <f t="shared" si="2"/>
        <v>1</v>
      </c>
      <c r="O16" s="30" t="str">
        <f t="shared" si="3"/>
        <v>1</v>
      </c>
      <c r="P16" s="31">
        <f t="shared" si="4"/>
        <v>1</v>
      </c>
      <c r="Q16" s="32">
        <v>94.0</v>
      </c>
      <c r="S16" s="150"/>
    </row>
    <row r="17">
      <c r="A17" s="18">
        <v>10.0</v>
      </c>
      <c r="B17" s="19">
        <v>1.11625201134E11</v>
      </c>
      <c r="C17" s="20" t="s">
        <v>198</v>
      </c>
      <c r="D17" s="21" t="s">
        <v>27</v>
      </c>
      <c r="E17" s="21" t="s">
        <v>30</v>
      </c>
      <c r="F17" s="21" t="s">
        <v>23</v>
      </c>
      <c r="G17" s="22"/>
      <c r="H17" s="146">
        <v>70.0</v>
      </c>
      <c r="I17" s="147">
        <v>63.33333333333333</v>
      </c>
      <c r="J17" s="151">
        <v>70.0</v>
      </c>
      <c r="K17" s="26" t="s">
        <v>25</v>
      </c>
      <c r="L17" s="149">
        <v>50.0</v>
      </c>
      <c r="M17" s="28">
        <f t="shared" si="1"/>
        <v>50.66666667</v>
      </c>
      <c r="N17" s="29">
        <f t="shared" si="2"/>
        <v>1</v>
      </c>
      <c r="O17" s="30"/>
      <c r="P17" s="31"/>
      <c r="Q17" s="32">
        <v>53.0</v>
      </c>
      <c r="S17" s="150"/>
    </row>
    <row r="18">
      <c r="A18" s="18">
        <v>11.0</v>
      </c>
      <c r="B18" s="19">
        <v>1.11625201135E11</v>
      </c>
      <c r="C18" s="20" t="s">
        <v>199</v>
      </c>
      <c r="D18" s="21" t="s">
        <v>23</v>
      </c>
      <c r="E18" s="21" t="s">
        <v>30</v>
      </c>
      <c r="F18" s="21" t="s">
        <v>23</v>
      </c>
      <c r="G18" s="22"/>
      <c r="H18" s="146">
        <v>57.0</v>
      </c>
      <c r="I18" s="147">
        <v>66.66666666666666</v>
      </c>
      <c r="J18" s="151">
        <v>77.0</v>
      </c>
      <c r="K18" s="26">
        <v>60.0</v>
      </c>
      <c r="L18" s="149">
        <v>70.0</v>
      </c>
      <c r="M18" s="28">
        <f t="shared" si="1"/>
        <v>66.13333333</v>
      </c>
      <c r="N18" s="29">
        <f t="shared" si="2"/>
        <v>0</v>
      </c>
      <c r="O18" s="30"/>
      <c r="P18" s="31"/>
      <c r="Q18" s="32">
        <v>100.0</v>
      </c>
      <c r="S18" s="150"/>
    </row>
    <row r="19">
      <c r="A19" s="18">
        <v>12.0</v>
      </c>
      <c r="B19" s="19">
        <v>1.11625201136E11</v>
      </c>
      <c r="C19" s="20" t="s">
        <v>200</v>
      </c>
      <c r="D19" s="21" t="s">
        <v>23</v>
      </c>
      <c r="E19" s="21" t="s">
        <v>30</v>
      </c>
      <c r="F19" s="21" t="s">
        <v>23</v>
      </c>
      <c r="G19" s="22"/>
      <c r="H19" s="146">
        <v>87.0</v>
      </c>
      <c r="I19" s="147">
        <v>53.333333333333336</v>
      </c>
      <c r="J19" s="151">
        <v>63.0</v>
      </c>
      <c r="K19" s="26">
        <v>50.0</v>
      </c>
      <c r="L19" s="149">
        <v>30.0</v>
      </c>
      <c r="M19" s="28">
        <f t="shared" si="1"/>
        <v>56.66666667</v>
      </c>
      <c r="N19" s="29">
        <f t="shared" si="2"/>
        <v>1</v>
      </c>
      <c r="O19" s="30"/>
      <c r="P19" s="31"/>
      <c r="Q19" s="32">
        <v>98.0</v>
      </c>
      <c r="S19" s="150"/>
    </row>
    <row r="20">
      <c r="A20" s="18">
        <v>13.0</v>
      </c>
      <c r="B20" s="19">
        <v>1.11625201137E11</v>
      </c>
      <c r="C20" s="20" t="s">
        <v>201</v>
      </c>
      <c r="D20" s="21" t="s">
        <v>23</v>
      </c>
      <c r="E20" s="21" t="s">
        <v>30</v>
      </c>
      <c r="F20" s="21" t="s">
        <v>23</v>
      </c>
      <c r="G20" s="22"/>
      <c r="H20" s="146">
        <v>20.0</v>
      </c>
      <c r="I20" s="147">
        <v>63.33333333333333</v>
      </c>
      <c r="J20" s="151">
        <v>50.0</v>
      </c>
      <c r="K20" s="26">
        <v>50.0</v>
      </c>
      <c r="L20" s="149">
        <v>57.0</v>
      </c>
      <c r="M20" s="28">
        <f t="shared" si="1"/>
        <v>48.06666667</v>
      </c>
      <c r="N20" s="29">
        <f t="shared" si="2"/>
        <v>1</v>
      </c>
      <c r="O20" s="30"/>
      <c r="P20" s="31"/>
      <c r="Q20" s="32">
        <v>91.0</v>
      </c>
      <c r="S20" s="150"/>
    </row>
    <row r="21">
      <c r="A21" s="18">
        <v>14.0</v>
      </c>
      <c r="B21" s="19">
        <v>1.11625201138E11</v>
      </c>
      <c r="C21" s="20" t="s">
        <v>202</v>
      </c>
      <c r="D21" s="21" t="s">
        <v>27</v>
      </c>
      <c r="E21" s="21" t="s">
        <v>30</v>
      </c>
      <c r="F21" s="21" t="s">
        <v>32</v>
      </c>
      <c r="G21" s="22"/>
      <c r="H21" s="146">
        <v>100.0</v>
      </c>
      <c r="I21" s="147">
        <v>86.66666666666667</v>
      </c>
      <c r="J21" s="153">
        <v>70.0</v>
      </c>
      <c r="K21" s="26">
        <v>57.0</v>
      </c>
      <c r="L21" s="149">
        <v>70.0</v>
      </c>
      <c r="M21" s="28">
        <f t="shared" si="1"/>
        <v>76.73333333</v>
      </c>
      <c r="N21" s="29">
        <f t="shared" si="2"/>
        <v>0</v>
      </c>
      <c r="O21" s="30"/>
      <c r="P21" s="31"/>
      <c r="Q21" s="32">
        <v>87.0</v>
      </c>
      <c r="S21" s="150"/>
    </row>
    <row r="22">
      <c r="A22" s="18">
        <v>15.0</v>
      </c>
      <c r="B22" s="19">
        <v>1.11625201139E11</v>
      </c>
      <c r="C22" s="20" t="s">
        <v>203</v>
      </c>
      <c r="D22" s="21" t="s">
        <v>27</v>
      </c>
      <c r="E22" s="21" t="s">
        <v>24</v>
      </c>
      <c r="F22" s="21" t="s">
        <v>32</v>
      </c>
      <c r="G22" s="22"/>
      <c r="H22" s="146">
        <v>97.0</v>
      </c>
      <c r="I22" s="147">
        <v>80.0</v>
      </c>
      <c r="J22" s="153">
        <v>57.0</v>
      </c>
      <c r="K22" s="26">
        <v>50.0</v>
      </c>
      <c r="L22" s="149">
        <v>87.0</v>
      </c>
      <c r="M22" s="28">
        <f t="shared" si="1"/>
        <v>74.2</v>
      </c>
      <c r="N22" s="29">
        <f t="shared" si="2"/>
        <v>0</v>
      </c>
      <c r="O22" s="30"/>
      <c r="P22" s="31"/>
      <c r="Q22" s="32">
        <v>96.0</v>
      </c>
      <c r="S22" s="150"/>
    </row>
    <row r="23">
      <c r="A23" s="18">
        <v>16.0</v>
      </c>
      <c r="B23" s="19">
        <v>1.1162520114E11</v>
      </c>
      <c r="C23" s="20" t="s">
        <v>204</v>
      </c>
      <c r="D23" s="21" t="s">
        <v>27</v>
      </c>
      <c r="E23" s="21" t="s">
        <v>24</v>
      </c>
      <c r="F23" s="21" t="s">
        <v>32</v>
      </c>
      <c r="G23" s="22"/>
      <c r="H23" s="146">
        <v>77.0</v>
      </c>
      <c r="I23" s="147">
        <v>63.33333333333333</v>
      </c>
      <c r="J23" s="153">
        <v>60.0</v>
      </c>
      <c r="K23" s="26">
        <v>50.0</v>
      </c>
      <c r="L23" s="149">
        <v>70.0</v>
      </c>
      <c r="M23" s="28">
        <f t="shared" si="1"/>
        <v>64.06666667</v>
      </c>
      <c r="N23" s="29">
        <f t="shared" si="2"/>
        <v>0</v>
      </c>
      <c r="O23" s="30"/>
      <c r="P23" s="31"/>
      <c r="Q23" s="32">
        <v>100.0</v>
      </c>
      <c r="S23" s="150"/>
    </row>
    <row r="24">
      <c r="A24" s="18">
        <v>17.0</v>
      </c>
      <c r="B24" s="19">
        <v>1.11625201141E11</v>
      </c>
      <c r="C24" s="20" t="s">
        <v>205</v>
      </c>
      <c r="D24" s="21" t="s">
        <v>27</v>
      </c>
      <c r="E24" s="21" t="s">
        <v>30</v>
      </c>
      <c r="F24" s="21" t="s">
        <v>32</v>
      </c>
      <c r="G24" s="22"/>
      <c r="H24" s="146">
        <v>60.0</v>
      </c>
      <c r="I24" s="147">
        <v>80.0</v>
      </c>
      <c r="J24" s="153">
        <v>77.0</v>
      </c>
      <c r="K24" s="26">
        <v>57.0</v>
      </c>
      <c r="L24" s="149">
        <v>70.0</v>
      </c>
      <c r="M24" s="28">
        <f t="shared" si="1"/>
        <v>68.8</v>
      </c>
      <c r="N24" s="29">
        <f t="shared" si="2"/>
        <v>0</v>
      </c>
      <c r="O24" s="30"/>
      <c r="P24" s="31"/>
      <c r="Q24" s="32">
        <v>96.0</v>
      </c>
      <c r="S24" s="150"/>
    </row>
    <row r="25">
      <c r="A25" s="18">
        <v>18.0</v>
      </c>
      <c r="B25" s="19">
        <v>1.11625201142E11</v>
      </c>
      <c r="C25" s="20" t="s">
        <v>206</v>
      </c>
      <c r="D25" s="21" t="s">
        <v>27</v>
      </c>
      <c r="E25" s="21" t="s">
        <v>30</v>
      </c>
      <c r="F25" s="21" t="s">
        <v>32</v>
      </c>
      <c r="G25" s="22"/>
      <c r="H25" s="146">
        <v>93.0</v>
      </c>
      <c r="I25" s="147">
        <v>90.0</v>
      </c>
      <c r="J25" s="153">
        <v>67.0</v>
      </c>
      <c r="K25" s="26">
        <v>73.0</v>
      </c>
      <c r="L25" s="149">
        <v>50.0</v>
      </c>
      <c r="M25" s="28">
        <f t="shared" si="1"/>
        <v>74.6</v>
      </c>
      <c r="N25" s="29">
        <f t="shared" si="2"/>
        <v>0</v>
      </c>
      <c r="O25" s="30"/>
      <c r="P25" s="31"/>
      <c r="Q25" s="32">
        <v>94.0</v>
      </c>
      <c r="S25" s="150"/>
    </row>
    <row r="26">
      <c r="A26" s="18">
        <v>19.0</v>
      </c>
      <c r="B26" s="19">
        <v>1.11625201143E11</v>
      </c>
      <c r="C26" s="20" t="s">
        <v>207</v>
      </c>
      <c r="D26" s="21" t="s">
        <v>27</v>
      </c>
      <c r="E26" s="21" t="s">
        <v>24</v>
      </c>
      <c r="F26" s="21" t="s">
        <v>23</v>
      </c>
      <c r="G26" s="22"/>
      <c r="H26" s="146">
        <v>60.0</v>
      </c>
      <c r="I26" s="147">
        <v>73.33333333333333</v>
      </c>
      <c r="J26" s="153">
        <v>63.0</v>
      </c>
      <c r="K26" s="26">
        <v>51.0</v>
      </c>
      <c r="L26" s="149">
        <v>70.0</v>
      </c>
      <c r="M26" s="28">
        <f t="shared" si="1"/>
        <v>63.46666667</v>
      </c>
      <c r="N26" s="29">
        <f t="shared" si="2"/>
        <v>0</v>
      </c>
      <c r="O26" s="30"/>
      <c r="P26" s="31"/>
      <c r="Q26" s="32">
        <v>98.0</v>
      </c>
      <c r="S26" s="150"/>
    </row>
    <row r="27">
      <c r="A27" s="18">
        <v>20.0</v>
      </c>
      <c r="B27" s="19">
        <v>1.11625201144E11</v>
      </c>
      <c r="C27" s="20" t="s">
        <v>208</v>
      </c>
      <c r="D27" s="21" t="s">
        <v>27</v>
      </c>
      <c r="E27" s="21" t="s">
        <v>30</v>
      </c>
      <c r="F27" s="21" t="s">
        <v>32</v>
      </c>
      <c r="G27" s="22"/>
      <c r="H27" s="146">
        <v>73.0</v>
      </c>
      <c r="I27" s="147">
        <v>83.33333333333334</v>
      </c>
      <c r="J27" s="153">
        <v>87.0</v>
      </c>
      <c r="K27" s="26">
        <v>50.0</v>
      </c>
      <c r="L27" s="149">
        <v>87.0</v>
      </c>
      <c r="M27" s="28">
        <f t="shared" si="1"/>
        <v>76.06666667</v>
      </c>
      <c r="N27" s="29">
        <f t="shared" si="2"/>
        <v>0</v>
      </c>
      <c r="O27" s="30"/>
      <c r="P27" s="31"/>
      <c r="Q27" s="32">
        <v>96.0</v>
      </c>
      <c r="S27" s="150"/>
    </row>
    <row r="28">
      <c r="A28" s="18">
        <v>21.0</v>
      </c>
      <c r="B28" s="19">
        <v>1.11625201145E11</v>
      </c>
      <c r="C28" s="20" t="s">
        <v>209</v>
      </c>
      <c r="D28" s="21" t="s">
        <v>27</v>
      </c>
      <c r="E28" s="21" t="s">
        <v>30</v>
      </c>
      <c r="F28" s="21" t="s">
        <v>23</v>
      </c>
      <c r="G28" s="22"/>
      <c r="H28" s="146">
        <v>80.0</v>
      </c>
      <c r="I28" s="147">
        <v>60.0</v>
      </c>
      <c r="J28" s="153">
        <v>90.0</v>
      </c>
      <c r="K28" s="26">
        <v>33.0</v>
      </c>
      <c r="L28" s="149">
        <v>63.0</v>
      </c>
      <c r="M28" s="28">
        <f t="shared" si="1"/>
        <v>65.2</v>
      </c>
      <c r="N28" s="29">
        <f t="shared" si="2"/>
        <v>1</v>
      </c>
      <c r="O28" s="30"/>
      <c r="P28" s="31"/>
      <c r="Q28" s="32">
        <v>94.0</v>
      </c>
      <c r="S28" s="150"/>
    </row>
    <row r="29">
      <c r="A29" s="18">
        <v>22.0</v>
      </c>
      <c r="B29" s="19">
        <v>1.11625201146E11</v>
      </c>
      <c r="C29" s="20" t="s">
        <v>210</v>
      </c>
      <c r="D29" s="21" t="s">
        <v>27</v>
      </c>
      <c r="E29" s="21" t="s">
        <v>30</v>
      </c>
      <c r="F29" s="21" t="s">
        <v>23</v>
      </c>
      <c r="G29" s="22"/>
      <c r="H29" s="146">
        <v>63.0</v>
      </c>
      <c r="I29" s="147">
        <v>76.66666666666667</v>
      </c>
      <c r="J29" s="153">
        <v>37.0</v>
      </c>
      <c r="K29" s="26">
        <v>53.0</v>
      </c>
      <c r="L29" s="149">
        <v>13.0</v>
      </c>
      <c r="M29" s="28">
        <f t="shared" si="1"/>
        <v>48.53333333</v>
      </c>
      <c r="N29" s="29">
        <f t="shared" si="2"/>
        <v>2</v>
      </c>
      <c r="O29" s="30"/>
      <c r="P29" s="31"/>
      <c r="Q29" s="32">
        <v>98.0</v>
      </c>
      <c r="S29" s="150"/>
    </row>
    <row r="30">
      <c r="A30" s="18">
        <v>23.0</v>
      </c>
      <c r="B30" s="19">
        <v>1.11625201147E11</v>
      </c>
      <c r="C30" s="20" t="s">
        <v>211</v>
      </c>
      <c r="D30" s="21" t="s">
        <v>23</v>
      </c>
      <c r="E30" s="21" t="s">
        <v>24</v>
      </c>
      <c r="F30" s="21" t="s">
        <v>23</v>
      </c>
      <c r="G30" s="22"/>
      <c r="H30" s="146">
        <v>67.0</v>
      </c>
      <c r="I30" s="147">
        <v>43.333333333333336</v>
      </c>
      <c r="J30" s="153">
        <v>43.0</v>
      </c>
      <c r="K30" s="26">
        <v>17.0</v>
      </c>
      <c r="L30" s="149">
        <v>67.0</v>
      </c>
      <c r="M30" s="28">
        <f t="shared" si="1"/>
        <v>47.46666667</v>
      </c>
      <c r="N30" s="29">
        <f t="shared" si="2"/>
        <v>3</v>
      </c>
      <c r="O30" s="30"/>
      <c r="P30" s="31"/>
      <c r="Q30" s="32">
        <v>98.0</v>
      </c>
      <c r="S30" s="150"/>
    </row>
    <row r="31">
      <c r="A31" s="18">
        <v>24.0</v>
      </c>
      <c r="B31" s="19">
        <v>1.11625201148E11</v>
      </c>
      <c r="C31" s="20" t="s">
        <v>212</v>
      </c>
      <c r="D31" s="21" t="s">
        <v>27</v>
      </c>
      <c r="E31" s="21" t="s">
        <v>30</v>
      </c>
      <c r="F31" s="21" t="s">
        <v>32</v>
      </c>
      <c r="G31" s="22"/>
      <c r="H31" s="146">
        <v>97.0</v>
      </c>
      <c r="I31" s="147">
        <v>83.33333333333334</v>
      </c>
      <c r="J31" s="153">
        <v>90.0</v>
      </c>
      <c r="K31" s="26">
        <v>80.0</v>
      </c>
      <c r="L31" s="149">
        <v>83.0</v>
      </c>
      <c r="M31" s="28">
        <f t="shared" si="1"/>
        <v>86.66666667</v>
      </c>
      <c r="N31" s="29">
        <f t="shared" si="2"/>
        <v>0</v>
      </c>
      <c r="O31" s="30"/>
      <c r="P31" s="31"/>
      <c r="Q31" s="32">
        <v>96.0</v>
      </c>
      <c r="S31" s="150"/>
    </row>
    <row r="32">
      <c r="A32" s="18">
        <v>25.0</v>
      </c>
      <c r="B32" s="19">
        <v>1.11625201149E11</v>
      </c>
      <c r="C32" s="20" t="s">
        <v>213</v>
      </c>
      <c r="D32" s="21" t="s">
        <v>27</v>
      </c>
      <c r="E32" s="21" t="s">
        <v>30</v>
      </c>
      <c r="F32" s="21" t="s">
        <v>32</v>
      </c>
      <c r="G32" s="22"/>
      <c r="H32" s="152" t="s">
        <v>25</v>
      </c>
      <c r="I32" s="152" t="s">
        <v>25</v>
      </c>
      <c r="J32" s="153" t="s">
        <v>25</v>
      </c>
      <c r="K32" s="26" t="s">
        <v>25</v>
      </c>
      <c r="L32" s="149" t="s">
        <v>25</v>
      </c>
      <c r="M32" s="28">
        <f t="shared" si="1"/>
        <v>0</v>
      </c>
      <c r="N32" s="29">
        <f t="shared" si="2"/>
        <v>5</v>
      </c>
      <c r="O32" s="30"/>
      <c r="P32" s="31"/>
      <c r="Q32" s="32">
        <v>87.0</v>
      </c>
      <c r="S32" s="150"/>
    </row>
    <row r="33">
      <c r="A33" s="18">
        <v>26.0</v>
      </c>
      <c r="B33" s="19">
        <v>1.1162520115E11</v>
      </c>
      <c r="C33" s="20" t="s">
        <v>214</v>
      </c>
      <c r="D33" s="21" t="s">
        <v>27</v>
      </c>
      <c r="E33" s="21" t="s">
        <v>30</v>
      </c>
      <c r="F33" s="21" t="s">
        <v>32</v>
      </c>
      <c r="G33" s="22"/>
      <c r="H33" s="146">
        <v>87.0</v>
      </c>
      <c r="I33" s="147">
        <v>73.33333333333333</v>
      </c>
      <c r="J33" s="151">
        <v>90.0</v>
      </c>
      <c r="K33" s="26">
        <v>73.0</v>
      </c>
      <c r="L33" s="149">
        <v>97.0</v>
      </c>
      <c r="M33" s="28">
        <f t="shared" si="1"/>
        <v>84.06666667</v>
      </c>
      <c r="N33" s="29">
        <f t="shared" si="2"/>
        <v>0</v>
      </c>
      <c r="O33" s="30"/>
      <c r="P33" s="31"/>
      <c r="Q33" s="32">
        <v>100.0</v>
      </c>
      <c r="S33" s="150"/>
    </row>
    <row r="34">
      <c r="A34" s="18">
        <v>27.0</v>
      </c>
      <c r="B34" s="19">
        <v>1.11625201151E11</v>
      </c>
      <c r="C34" s="20" t="s">
        <v>215</v>
      </c>
      <c r="D34" s="21" t="s">
        <v>23</v>
      </c>
      <c r="E34" s="21" t="s">
        <v>30</v>
      </c>
      <c r="F34" s="21" t="s">
        <v>23</v>
      </c>
      <c r="G34" s="22"/>
      <c r="H34" s="146">
        <v>80.0</v>
      </c>
      <c r="I34" s="147">
        <v>66.66666666666666</v>
      </c>
      <c r="J34" s="151">
        <v>87.0</v>
      </c>
      <c r="K34" s="26">
        <v>57.0</v>
      </c>
      <c r="L34" s="149">
        <v>13.0</v>
      </c>
      <c r="M34" s="28">
        <f t="shared" si="1"/>
        <v>60.73333333</v>
      </c>
      <c r="N34" s="29">
        <f t="shared" si="2"/>
        <v>1</v>
      </c>
      <c r="O34" s="30"/>
      <c r="P34" s="31"/>
      <c r="Q34" s="32">
        <v>98.0</v>
      </c>
      <c r="S34" s="150"/>
    </row>
    <row r="35">
      <c r="A35" s="18">
        <v>28.0</v>
      </c>
      <c r="B35" s="19">
        <v>1.11625201152E11</v>
      </c>
      <c r="C35" s="20" t="s">
        <v>216</v>
      </c>
      <c r="D35" s="21" t="s">
        <v>23</v>
      </c>
      <c r="E35" s="21" t="s">
        <v>24</v>
      </c>
      <c r="F35" s="21" t="s">
        <v>23</v>
      </c>
      <c r="G35" s="22"/>
      <c r="H35" s="146">
        <v>50.0</v>
      </c>
      <c r="I35" s="147">
        <v>30.0</v>
      </c>
      <c r="J35" s="151">
        <v>70.0</v>
      </c>
      <c r="K35" s="26">
        <v>37.0</v>
      </c>
      <c r="L35" s="149">
        <v>50.0</v>
      </c>
      <c r="M35" s="28">
        <f t="shared" si="1"/>
        <v>47.4</v>
      </c>
      <c r="N35" s="29">
        <f t="shared" si="2"/>
        <v>2</v>
      </c>
      <c r="O35" s="30"/>
      <c r="P35" s="31"/>
      <c r="Q35" s="32">
        <v>96.0</v>
      </c>
      <c r="S35" s="150"/>
    </row>
    <row r="36">
      <c r="A36" s="18">
        <v>29.0</v>
      </c>
      <c r="B36" s="19">
        <v>1.11625201153E11</v>
      </c>
      <c r="C36" s="20" t="s">
        <v>217</v>
      </c>
      <c r="D36" s="21" t="s">
        <v>23</v>
      </c>
      <c r="E36" s="21" t="s">
        <v>24</v>
      </c>
      <c r="F36" s="21" t="s">
        <v>32</v>
      </c>
      <c r="G36" s="22"/>
      <c r="H36" s="146">
        <v>90.0</v>
      </c>
      <c r="I36" s="147">
        <v>56.666666666666664</v>
      </c>
      <c r="J36" s="151">
        <v>67.0</v>
      </c>
      <c r="K36" s="26">
        <v>53.0</v>
      </c>
      <c r="L36" s="149">
        <v>57.0</v>
      </c>
      <c r="M36" s="28">
        <f t="shared" si="1"/>
        <v>64.73333333</v>
      </c>
      <c r="N36" s="29">
        <f t="shared" si="2"/>
        <v>0</v>
      </c>
      <c r="O36" s="30"/>
      <c r="P36" s="31"/>
      <c r="Q36" s="32">
        <v>100.0</v>
      </c>
      <c r="S36" s="150"/>
    </row>
    <row r="37">
      <c r="A37" s="18">
        <v>30.0</v>
      </c>
      <c r="B37" s="19">
        <v>1.11625201154E11</v>
      </c>
      <c r="C37" s="20" t="s">
        <v>218</v>
      </c>
      <c r="D37" s="21" t="s">
        <v>27</v>
      </c>
      <c r="E37" s="21" t="s">
        <v>30</v>
      </c>
      <c r="F37" s="21" t="s">
        <v>32</v>
      </c>
      <c r="G37" s="22"/>
      <c r="H37" s="146">
        <v>90.0</v>
      </c>
      <c r="I37" s="147">
        <v>90.0</v>
      </c>
      <c r="J37" s="151">
        <v>93.0</v>
      </c>
      <c r="K37" s="26">
        <v>83.0</v>
      </c>
      <c r="L37" s="149">
        <v>63.0</v>
      </c>
      <c r="M37" s="28">
        <f t="shared" si="1"/>
        <v>83.8</v>
      </c>
      <c r="N37" s="29">
        <f t="shared" si="2"/>
        <v>0</v>
      </c>
      <c r="O37" s="30"/>
      <c r="P37" s="31"/>
      <c r="Q37" s="32">
        <v>98.0</v>
      </c>
      <c r="S37" s="150"/>
    </row>
    <row r="38">
      <c r="A38" s="18">
        <v>31.0</v>
      </c>
      <c r="B38" s="19">
        <v>1.11625201155E11</v>
      </c>
      <c r="C38" s="20" t="s">
        <v>219</v>
      </c>
      <c r="D38" s="21" t="s">
        <v>27</v>
      </c>
      <c r="E38" s="21" t="s">
        <v>30</v>
      </c>
      <c r="F38" s="21" t="s">
        <v>23</v>
      </c>
      <c r="G38" s="22"/>
      <c r="H38" s="146">
        <v>77.0</v>
      </c>
      <c r="I38" s="147">
        <v>66.66666666666666</v>
      </c>
      <c r="J38" s="151">
        <v>83.0</v>
      </c>
      <c r="K38" s="26">
        <v>57.0</v>
      </c>
      <c r="L38" s="149">
        <v>50.0</v>
      </c>
      <c r="M38" s="28">
        <f t="shared" si="1"/>
        <v>66.73333333</v>
      </c>
      <c r="N38" s="29">
        <f t="shared" si="2"/>
        <v>0</v>
      </c>
      <c r="O38" s="30" t="str">
        <f t="shared" ref="O38:O69" si="5">IF((N38&lt;1),"0","1")</f>
        <v>0</v>
      </c>
      <c r="P38" s="31">
        <f t="shared" ref="P38:P69" si="6">COUNTIF((H38:L38),"=A")</f>
        <v>0</v>
      </c>
      <c r="Q38" s="32">
        <v>100.0</v>
      </c>
      <c r="S38" s="150"/>
    </row>
    <row r="39">
      <c r="A39" s="18">
        <v>32.0</v>
      </c>
      <c r="B39" s="19">
        <v>1.11625201156E11</v>
      </c>
      <c r="C39" s="20" t="s">
        <v>220</v>
      </c>
      <c r="D39" s="21" t="s">
        <v>27</v>
      </c>
      <c r="E39" s="21" t="s">
        <v>30</v>
      </c>
      <c r="F39" s="21" t="s">
        <v>23</v>
      </c>
      <c r="G39" s="22"/>
      <c r="H39" s="146">
        <v>50.0</v>
      </c>
      <c r="I39" s="152">
        <v>73.0</v>
      </c>
      <c r="J39" s="151">
        <v>43.0</v>
      </c>
      <c r="K39" s="26">
        <v>13.0</v>
      </c>
      <c r="L39" s="149">
        <v>50.0</v>
      </c>
      <c r="M39" s="28">
        <f t="shared" si="1"/>
        <v>45.8</v>
      </c>
      <c r="N39" s="29">
        <f t="shared" si="2"/>
        <v>2</v>
      </c>
      <c r="O39" s="30" t="str">
        <f t="shared" si="5"/>
        <v>1</v>
      </c>
      <c r="P39" s="31">
        <f t="shared" si="6"/>
        <v>0</v>
      </c>
      <c r="Q39" s="32">
        <v>100.0</v>
      </c>
      <c r="S39" s="150"/>
    </row>
    <row r="40">
      <c r="A40" s="18">
        <v>33.0</v>
      </c>
      <c r="B40" s="19">
        <v>1.11625201157E11</v>
      </c>
      <c r="C40" s="20" t="s">
        <v>221</v>
      </c>
      <c r="D40" s="21" t="s">
        <v>23</v>
      </c>
      <c r="E40" s="21" t="s">
        <v>24</v>
      </c>
      <c r="F40" s="21" t="s">
        <v>23</v>
      </c>
      <c r="G40" s="22"/>
      <c r="H40" s="146">
        <v>50.0</v>
      </c>
      <c r="I40" s="147">
        <v>50.0</v>
      </c>
      <c r="J40" s="151">
        <v>17.0</v>
      </c>
      <c r="K40" s="26">
        <v>33.0</v>
      </c>
      <c r="L40" s="149">
        <v>63.0</v>
      </c>
      <c r="M40" s="28">
        <f t="shared" si="1"/>
        <v>42.6</v>
      </c>
      <c r="N40" s="29">
        <f t="shared" si="2"/>
        <v>2</v>
      </c>
      <c r="O40" s="30" t="str">
        <f t="shared" si="5"/>
        <v>1</v>
      </c>
      <c r="P40" s="31">
        <f t="shared" si="6"/>
        <v>0</v>
      </c>
      <c r="Q40" s="32">
        <v>89.0</v>
      </c>
      <c r="S40" s="150"/>
    </row>
    <row r="41">
      <c r="A41" s="18">
        <v>34.0</v>
      </c>
      <c r="B41" s="19">
        <v>1.11625201158E11</v>
      </c>
      <c r="C41" s="20" t="s">
        <v>222</v>
      </c>
      <c r="D41" s="21" t="s">
        <v>27</v>
      </c>
      <c r="E41" s="21" t="s">
        <v>30</v>
      </c>
      <c r="F41" s="21" t="s">
        <v>23</v>
      </c>
      <c r="G41" s="22"/>
      <c r="H41" s="146">
        <v>93.0</v>
      </c>
      <c r="I41" s="147">
        <v>90.0</v>
      </c>
      <c r="J41" s="151">
        <v>83.0</v>
      </c>
      <c r="K41" s="26">
        <v>77.0</v>
      </c>
      <c r="L41" s="149">
        <v>70.0</v>
      </c>
      <c r="M41" s="28">
        <f t="shared" si="1"/>
        <v>82.6</v>
      </c>
      <c r="N41" s="29">
        <f t="shared" si="2"/>
        <v>0</v>
      </c>
      <c r="O41" s="30" t="str">
        <f t="shared" si="5"/>
        <v>0</v>
      </c>
      <c r="P41" s="31">
        <f t="shared" si="6"/>
        <v>0</v>
      </c>
      <c r="Q41" s="32">
        <v>100.0</v>
      </c>
      <c r="S41" s="150"/>
    </row>
    <row r="42">
      <c r="A42" s="18">
        <v>35.0</v>
      </c>
      <c r="B42" s="19">
        <v>1.11625201159E11</v>
      </c>
      <c r="C42" s="20" t="s">
        <v>223</v>
      </c>
      <c r="D42" s="21" t="s">
        <v>23</v>
      </c>
      <c r="E42" s="21" t="s">
        <v>24</v>
      </c>
      <c r="F42" s="21" t="s">
        <v>23</v>
      </c>
      <c r="G42" s="22"/>
      <c r="H42" s="146">
        <v>80.0</v>
      </c>
      <c r="I42" s="147">
        <v>83.33333333333334</v>
      </c>
      <c r="J42" s="151">
        <v>70.0</v>
      </c>
      <c r="K42" s="26">
        <v>83.0</v>
      </c>
      <c r="L42" s="149">
        <v>90.0</v>
      </c>
      <c r="M42" s="28">
        <f t="shared" si="1"/>
        <v>81.26666667</v>
      </c>
      <c r="N42" s="29">
        <f t="shared" si="2"/>
        <v>0</v>
      </c>
      <c r="O42" s="30" t="str">
        <f t="shared" si="5"/>
        <v>0</v>
      </c>
      <c r="P42" s="31">
        <f t="shared" si="6"/>
        <v>0</v>
      </c>
      <c r="Q42" s="32">
        <v>100.0</v>
      </c>
      <c r="S42" s="150"/>
    </row>
    <row r="43">
      <c r="A43" s="18">
        <v>36.0</v>
      </c>
      <c r="B43" s="19">
        <v>1.1162520116E11</v>
      </c>
      <c r="C43" s="20" t="s">
        <v>224</v>
      </c>
      <c r="D43" s="21" t="s">
        <v>23</v>
      </c>
      <c r="E43" s="21" t="s">
        <v>30</v>
      </c>
      <c r="F43" s="21" t="s">
        <v>32</v>
      </c>
      <c r="G43" s="22"/>
      <c r="H43" s="146">
        <v>83.0</v>
      </c>
      <c r="I43" s="147">
        <v>50.0</v>
      </c>
      <c r="J43" s="151">
        <v>50.0</v>
      </c>
      <c r="K43" s="26">
        <v>23.0</v>
      </c>
      <c r="L43" s="149">
        <v>40.0</v>
      </c>
      <c r="M43" s="28">
        <f t="shared" si="1"/>
        <v>49.2</v>
      </c>
      <c r="N43" s="29">
        <f t="shared" si="2"/>
        <v>2</v>
      </c>
      <c r="O43" s="30" t="str">
        <f t="shared" si="5"/>
        <v>1</v>
      </c>
      <c r="P43" s="31">
        <f t="shared" si="6"/>
        <v>0</v>
      </c>
      <c r="Q43" s="32">
        <v>91.0</v>
      </c>
      <c r="S43" s="150"/>
    </row>
    <row r="44">
      <c r="A44" s="18">
        <v>37.0</v>
      </c>
      <c r="B44" s="19">
        <v>1.11625201161E11</v>
      </c>
      <c r="C44" s="20" t="s">
        <v>225</v>
      </c>
      <c r="D44" s="21" t="s">
        <v>23</v>
      </c>
      <c r="E44" s="21" t="s">
        <v>24</v>
      </c>
      <c r="F44" s="21" t="s">
        <v>32</v>
      </c>
      <c r="G44" s="22"/>
      <c r="H44" s="146">
        <v>67.0</v>
      </c>
      <c r="I44" s="147">
        <v>86.66666666666667</v>
      </c>
      <c r="J44" s="151">
        <v>67.0</v>
      </c>
      <c r="K44" s="26">
        <v>77.0</v>
      </c>
      <c r="L44" s="149">
        <v>53.0</v>
      </c>
      <c r="M44" s="28">
        <f t="shared" si="1"/>
        <v>70.13333333</v>
      </c>
      <c r="N44" s="29">
        <f t="shared" si="2"/>
        <v>0</v>
      </c>
      <c r="O44" s="30" t="str">
        <f t="shared" si="5"/>
        <v>0</v>
      </c>
      <c r="P44" s="31">
        <f t="shared" si="6"/>
        <v>0</v>
      </c>
      <c r="Q44" s="32">
        <v>100.0</v>
      </c>
      <c r="S44" s="150"/>
    </row>
    <row r="45">
      <c r="A45" s="18">
        <v>38.0</v>
      </c>
      <c r="B45" s="19">
        <v>1.11625201162E11</v>
      </c>
      <c r="C45" s="20" t="s">
        <v>226</v>
      </c>
      <c r="D45" s="21" t="s">
        <v>27</v>
      </c>
      <c r="E45" s="21" t="s">
        <v>24</v>
      </c>
      <c r="F45" s="21" t="s">
        <v>32</v>
      </c>
      <c r="G45" s="22"/>
      <c r="H45" s="146">
        <v>93.0</v>
      </c>
      <c r="I45" s="147">
        <v>86.66666666666667</v>
      </c>
      <c r="J45" s="151">
        <v>87.0</v>
      </c>
      <c r="K45" s="26">
        <v>73.0</v>
      </c>
      <c r="L45" s="149">
        <v>100.0</v>
      </c>
      <c r="M45" s="28">
        <f t="shared" si="1"/>
        <v>87.93333333</v>
      </c>
      <c r="N45" s="29">
        <f t="shared" si="2"/>
        <v>0</v>
      </c>
      <c r="O45" s="30" t="str">
        <f t="shared" si="5"/>
        <v>0</v>
      </c>
      <c r="P45" s="31">
        <f t="shared" si="6"/>
        <v>0</v>
      </c>
      <c r="Q45" s="32">
        <v>100.0</v>
      </c>
      <c r="S45" s="150"/>
    </row>
    <row r="46">
      <c r="A46" s="18">
        <v>39.0</v>
      </c>
      <c r="B46" s="19">
        <v>1.11625201163E11</v>
      </c>
      <c r="C46" s="20" t="s">
        <v>227</v>
      </c>
      <c r="D46" s="21" t="s">
        <v>27</v>
      </c>
      <c r="E46" s="21" t="s">
        <v>24</v>
      </c>
      <c r="F46" s="21" t="s">
        <v>23</v>
      </c>
      <c r="G46" s="22"/>
      <c r="H46" s="146">
        <v>67.0</v>
      </c>
      <c r="I46" s="147">
        <v>53.333333333333336</v>
      </c>
      <c r="J46" s="151">
        <v>73.0</v>
      </c>
      <c r="K46" s="26">
        <v>50.0</v>
      </c>
      <c r="L46" s="149">
        <v>53.0</v>
      </c>
      <c r="M46" s="28">
        <f t="shared" si="1"/>
        <v>59.26666667</v>
      </c>
      <c r="N46" s="29">
        <f t="shared" si="2"/>
        <v>0</v>
      </c>
      <c r="O46" s="30" t="str">
        <f t="shared" si="5"/>
        <v>0</v>
      </c>
      <c r="P46" s="31">
        <f t="shared" si="6"/>
        <v>0</v>
      </c>
      <c r="Q46" s="32">
        <v>100.0</v>
      </c>
      <c r="S46" s="150"/>
    </row>
    <row r="47">
      <c r="A47" s="18">
        <v>40.0</v>
      </c>
      <c r="B47" s="19">
        <v>1.11625201164E11</v>
      </c>
      <c r="C47" s="20" t="s">
        <v>228</v>
      </c>
      <c r="D47" s="21" t="s">
        <v>27</v>
      </c>
      <c r="E47" s="21" t="s">
        <v>30</v>
      </c>
      <c r="F47" s="21" t="s">
        <v>32</v>
      </c>
      <c r="G47" s="22"/>
      <c r="H47" s="146">
        <v>97.0</v>
      </c>
      <c r="I47" s="147">
        <v>73.33333333333333</v>
      </c>
      <c r="J47" s="151" t="s">
        <v>25</v>
      </c>
      <c r="K47" s="26" t="s">
        <v>25</v>
      </c>
      <c r="L47" s="149">
        <v>73.0</v>
      </c>
      <c r="M47" s="28">
        <f t="shared" si="1"/>
        <v>48.66666667</v>
      </c>
      <c r="N47" s="29">
        <f t="shared" si="2"/>
        <v>2</v>
      </c>
      <c r="O47" s="30" t="str">
        <f t="shared" si="5"/>
        <v>1</v>
      </c>
      <c r="P47" s="31">
        <f t="shared" si="6"/>
        <v>2</v>
      </c>
      <c r="Q47" s="32">
        <v>94.0</v>
      </c>
      <c r="S47" s="150"/>
    </row>
    <row r="48">
      <c r="A48" s="18">
        <v>41.0</v>
      </c>
      <c r="B48" s="19">
        <v>1.11625201165E11</v>
      </c>
      <c r="C48" s="20" t="s">
        <v>229</v>
      </c>
      <c r="D48" s="21" t="s">
        <v>23</v>
      </c>
      <c r="E48" s="21" t="s">
        <v>30</v>
      </c>
      <c r="F48" s="21" t="s">
        <v>23</v>
      </c>
      <c r="G48" s="22"/>
      <c r="H48" s="146">
        <v>57.0</v>
      </c>
      <c r="I48" s="147">
        <v>60.0</v>
      </c>
      <c r="J48" s="151">
        <v>50.0</v>
      </c>
      <c r="K48" s="26">
        <v>51.0</v>
      </c>
      <c r="L48" s="149">
        <v>27.0</v>
      </c>
      <c r="M48" s="28">
        <f t="shared" si="1"/>
        <v>49</v>
      </c>
      <c r="N48" s="29">
        <f t="shared" si="2"/>
        <v>1</v>
      </c>
      <c r="O48" s="30" t="str">
        <f t="shared" si="5"/>
        <v>1</v>
      </c>
      <c r="P48" s="31">
        <f t="shared" si="6"/>
        <v>0</v>
      </c>
      <c r="Q48" s="32">
        <v>98.0</v>
      </c>
      <c r="S48" s="150"/>
    </row>
    <row r="49">
      <c r="A49" s="18">
        <v>42.0</v>
      </c>
      <c r="B49" s="19">
        <v>1.11625201166E11</v>
      </c>
      <c r="C49" s="20" t="s">
        <v>230</v>
      </c>
      <c r="D49" s="21" t="s">
        <v>23</v>
      </c>
      <c r="E49" s="21" t="s">
        <v>24</v>
      </c>
      <c r="F49" s="21" t="s">
        <v>23</v>
      </c>
      <c r="G49" s="22"/>
      <c r="H49" s="146">
        <v>67.0</v>
      </c>
      <c r="I49" s="147">
        <v>70.0</v>
      </c>
      <c r="J49" s="151">
        <v>57.0</v>
      </c>
      <c r="K49" s="26">
        <v>33.0</v>
      </c>
      <c r="L49" s="149">
        <v>87.0</v>
      </c>
      <c r="M49" s="28">
        <f t="shared" si="1"/>
        <v>62.8</v>
      </c>
      <c r="N49" s="29">
        <f t="shared" si="2"/>
        <v>1</v>
      </c>
      <c r="O49" s="30" t="str">
        <f t="shared" si="5"/>
        <v>1</v>
      </c>
      <c r="P49" s="31">
        <f t="shared" si="6"/>
        <v>0</v>
      </c>
      <c r="Q49" s="32">
        <v>100.0</v>
      </c>
      <c r="S49" s="150"/>
    </row>
    <row r="50">
      <c r="A50" s="18">
        <v>43.0</v>
      </c>
      <c r="B50" s="19">
        <v>1.11625201167E11</v>
      </c>
      <c r="C50" s="20" t="s">
        <v>231</v>
      </c>
      <c r="D50" s="21" t="s">
        <v>23</v>
      </c>
      <c r="E50" s="21" t="s">
        <v>24</v>
      </c>
      <c r="F50" s="21" t="s">
        <v>32</v>
      </c>
      <c r="G50" s="22"/>
      <c r="H50" s="146">
        <v>97.0</v>
      </c>
      <c r="I50" s="147">
        <v>80.0</v>
      </c>
      <c r="J50" s="151">
        <v>87.0</v>
      </c>
      <c r="K50" s="26">
        <v>50.0</v>
      </c>
      <c r="L50" s="149">
        <v>73.0</v>
      </c>
      <c r="M50" s="28">
        <f t="shared" si="1"/>
        <v>77.4</v>
      </c>
      <c r="N50" s="29">
        <f t="shared" si="2"/>
        <v>0</v>
      </c>
      <c r="O50" s="30" t="str">
        <f t="shared" si="5"/>
        <v>0</v>
      </c>
      <c r="P50" s="31">
        <f t="shared" si="6"/>
        <v>0</v>
      </c>
      <c r="Q50" s="32">
        <v>98.0</v>
      </c>
      <c r="S50" s="150"/>
    </row>
    <row r="51">
      <c r="A51" s="18">
        <v>44.0</v>
      </c>
      <c r="B51" s="19">
        <v>1.11625201168E11</v>
      </c>
      <c r="C51" s="20" t="s">
        <v>232</v>
      </c>
      <c r="D51" s="21" t="s">
        <v>27</v>
      </c>
      <c r="E51" s="21" t="s">
        <v>30</v>
      </c>
      <c r="F51" s="21" t="s">
        <v>23</v>
      </c>
      <c r="G51" s="22"/>
      <c r="H51" s="146">
        <v>70.0</v>
      </c>
      <c r="I51" s="152" t="s">
        <v>25</v>
      </c>
      <c r="J51" s="151">
        <v>33.0</v>
      </c>
      <c r="K51" s="26">
        <v>57.0</v>
      </c>
      <c r="L51" s="149">
        <v>93.0</v>
      </c>
      <c r="M51" s="28">
        <f t="shared" si="1"/>
        <v>50.6</v>
      </c>
      <c r="N51" s="29">
        <f t="shared" si="2"/>
        <v>2</v>
      </c>
      <c r="O51" s="30" t="str">
        <f t="shared" si="5"/>
        <v>1</v>
      </c>
      <c r="P51" s="31">
        <f t="shared" si="6"/>
        <v>1</v>
      </c>
      <c r="Q51" s="32">
        <v>94.0</v>
      </c>
      <c r="S51" s="150"/>
    </row>
    <row r="52">
      <c r="A52" s="18">
        <v>45.0</v>
      </c>
      <c r="B52" s="19">
        <v>1.11625201169E11</v>
      </c>
      <c r="C52" s="20" t="s">
        <v>233</v>
      </c>
      <c r="D52" s="21" t="s">
        <v>27</v>
      </c>
      <c r="E52" s="21" t="s">
        <v>30</v>
      </c>
      <c r="F52" s="21" t="s">
        <v>23</v>
      </c>
      <c r="G52" s="22"/>
      <c r="H52" s="146">
        <v>93.0</v>
      </c>
      <c r="I52" s="147">
        <v>76.66666666666667</v>
      </c>
      <c r="J52" s="151">
        <v>53.0</v>
      </c>
      <c r="K52" s="26">
        <v>50.0</v>
      </c>
      <c r="L52" s="149">
        <v>50.0</v>
      </c>
      <c r="M52" s="28">
        <f t="shared" si="1"/>
        <v>64.53333333</v>
      </c>
      <c r="N52" s="29">
        <f t="shared" si="2"/>
        <v>0</v>
      </c>
      <c r="O52" s="30" t="str">
        <f t="shared" si="5"/>
        <v>0</v>
      </c>
      <c r="P52" s="31">
        <f t="shared" si="6"/>
        <v>0</v>
      </c>
      <c r="Q52" s="32">
        <v>96.0</v>
      </c>
      <c r="S52" s="150"/>
    </row>
    <row r="53">
      <c r="A53" s="18">
        <v>46.0</v>
      </c>
      <c r="B53" s="19">
        <v>1.1162520117E11</v>
      </c>
      <c r="C53" s="20" t="s">
        <v>234</v>
      </c>
      <c r="D53" s="21" t="s">
        <v>27</v>
      </c>
      <c r="E53" s="21" t="s">
        <v>30</v>
      </c>
      <c r="F53" s="21" t="s">
        <v>32</v>
      </c>
      <c r="G53" s="22"/>
      <c r="H53" s="146">
        <v>53.0</v>
      </c>
      <c r="I53" s="147">
        <v>50.0</v>
      </c>
      <c r="J53" s="151">
        <v>63.0</v>
      </c>
      <c r="K53" s="26" t="s">
        <v>25</v>
      </c>
      <c r="L53" s="149">
        <v>20.0</v>
      </c>
      <c r="M53" s="28">
        <f t="shared" si="1"/>
        <v>37.2</v>
      </c>
      <c r="N53" s="29">
        <f t="shared" si="2"/>
        <v>2</v>
      </c>
      <c r="O53" s="30" t="str">
        <f t="shared" si="5"/>
        <v>1</v>
      </c>
      <c r="P53" s="31">
        <f t="shared" si="6"/>
        <v>1</v>
      </c>
      <c r="Q53" s="32">
        <v>87.0</v>
      </c>
      <c r="S53" s="150"/>
    </row>
    <row r="54">
      <c r="A54" s="18">
        <v>47.0</v>
      </c>
      <c r="B54" s="19">
        <v>1.11625201171E11</v>
      </c>
      <c r="C54" s="20" t="s">
        <v>235</v>
      </c>
      <c r="D54" s="21" t="s">
        <v>23</v>
      </c>
      <c r="E54" s="21" t="s">
        <v>24</v>
      </c>
      <c r="F54" s="21" t="s">
        <v>32</v>
      </c>
      <c r="G54" s="22"/>
      <c r="H54" s="146">
        <v>63.0</v>
      </c>
      <c r="I54" s="147">
        <v>73.33333333333333</v>
      </c>
      <c r="J54" s="151">
        <v>67.0</v>
      </c>
      <c r="K54" s="26">
        <v>57.0</v>
      </c>
      <c r="L54" s="149">
        <v>80.0</v>
      </c>
      <c r="M54" s="28">
        <f t="shared" si="1"/>
        <v>68.06666667</v>
      </c>
      <c r="N54" s="29">
        <f t="shared" si="2"/>
        <v>0</v>
      </c>
      <c r="O54" s="30" t="str">
        <f t="shared" si="5"/>
        <v>0</v>
      </c>
      <c r="P54" s="31">
        <f t="shared" si="6"/>
        <v>0</v>
      </c>
      <c r="Q54" s="32">
        <v>94.0</v>
      </c>
      <c r="S54" s="150"/>
    </row>
    <row r="55">
      <c r="A55" s="18">
        <v>48.0</v>
      </c>
      <c r="B55" s="19">
        <v>1.11625201172E11</v>
      </c>
      <c r="C55" s="20" t="s">
        <v>236</v>
      </c>
      <c r="D55" s="21" t="s">
        <v>23</v>
      </c>
      <c r="E55" s="21" t="s">
        <v>24</v>
      </c>
      <c r="F55" s="21" t="s">
        <v>23</v>
      </c>
      <c r="G55" s="22"/>
      <c r="H55" s="146">
        <v>93.0</v>
      </c>
      <c r="I55" s="147">
        <v>80.0</v>
      </c>
      <c r="J55" s="151">
        <v>73.0</v>
      </c>
      <c r="K55" s="26">
        <v>57.0</v>
      </c>
      <c r="L55" s="149">
        <v>97.0</v>
      </c>
      <c r="M55" s="28">
        <f t="shared" si="1"/>
        <v>80</v>
      </c>
      <c r="N55" s="29">
        <f t="shared" si="2"/>
        <v>0</v>
      </c>
      <c r="O55" s="30" t="str">
        <f t="shared" si="5"/>
        <v>0</v>
      </c>
      <c r="P55" s="31">
        <f t="shared" si="6"/>
        <v>0</v>
      </c>
      <c r="Q55" s="32">
        <v>100.0</v>
      </c>
      <c r="S55" s="150"/>
    </row>
    <row r="56">
      <c r="A56" s="18">
        <v>49.0</v>
      </c>
      <c r="B56" s="19">
        <v>1.11625201173E11</v>
      </c>
      <c r="C56" s="20" t="s">
        <v>237</v>
      </c>
      <c r="D56" s="21" t="s">
        <v>23</v>
      </c>
      <c r="E56" s="21" t="s">
        <v>30</v>
      </c>
      <c r="F56" s="21" t="s">
        <v>32</v>
      </c>
      <c r="G56" s="22"/>
      <c r="H56" s="146">
        <v>80.0</v>
      </c>
      <c r="I56" s="147">
        <v>56.666666666666664</v>
      </c>
      <c r="J56" s="151">
        <v>70.0</v>
      </c>
      <c r="K56" s="26">
        <v>63.0</v>
      </c>
      <c r="L56" s="149">
        <v>53.0</v>
      </c>
      <c r="M56" s="28">
        <f t="shared" si="1"/>
        <v>64.53333333</v>
      </c>
      <c r="N56" s="29">
        <f t="shared" si="2"/>
        <v>0</v>
      </c>
      <c r="O56" s="30" t="str">
        <f t="shared" si="5"/>
        <v>0</v>
      </c>
      <c r="P56" s="31">
        <f t="shared" si="6"/>
        <v>0</v>
      </c>
      <c r="Q56" s="32">
        <v>98.0</v>
      </c>
      <c r="S56" s="150"/>
    </row>
    <row r="57">
      <c r="A57" s="18">
        <v>50.0</v>
      </c>
      <c r="B57" s="19">
        <v>1.11625201174E11</v>
      </c>
      <c r="C57" s="20" t="s">
        <v>238</v>
      </c>
      <c r="D57" s="21" t="s">
        <v>23</v>
      </c>
      <c r="E57" s="21" t="s">
        <v>30</v>
      </c>
      <c r="F57" s="21" t="s">
        <v>23</v>
      </c>
      <c r="G57" s="22"/>
      <c r="H57" s="146">
        <v>57.0</v>
      </c>
      <c r="I57" s="147">
        <v>50.0</v>
      </c>
      <c r="J57" s="151">
        <v>27.0</v>
      </c>
      <c r="K57" s="26">
        <v>27.0</v>
      </c>
      <c r="L57" s="149">
        <v>53.0</v>
      </c>
      <c r="M57" s="28">
        <f t="shared" si="1"/>
        <v>42.8</v>
      </c>
      <c r="N57" s="29">
        <f t="shared" si="2"/>
        <v>2</v>
      </c>
      <c r="O57" s="30" t="str">
        <f t="shared" si="5"/>
        <v>1</v>
      </c>
      <c r="P57" s="31">
        <f t="shared" si="6"/>
        <v>0</v>
      </c>
      <c r="Q57" s="32">
        <v>100.0</v>
      </c>
      <c r="S57" s="150"/>
    </row>
    <row r="58">
      <c r="A58" s="18">
        <v>51.0</v>
      </c>
      <c r="B58" s="19">
        <v>1.11625201175E11</v>
      </c>
      <c r="C58" s="20" t="s">
        <v>239</v>
      </c>
      <c r="D58" s="21" t="s">
        <v>23</v>
      </c>
      <c r="E58" s="21" t="s">
        <v>24</v>
      </c>
      <c r="F58" s="21" t="s">
        <v>23</v>
      </c>
      <c r="G58" s="22"/>
      <c r="H58" s="146">
        <v>50.0</v>
      </c>
      <c r="I58" s="147">
        <v>43.333333333333336</v>
      </c>
      <c r="J58" s="151">
        <v>43.0</v>
      </c>
      <c r="K58" s="26">
        <v>27.0</v>
      </c>
      <c r="L58" s="149">
        <v>63.0</v>
      </c>
      <c r="M58" s="28">
        <f t="shared" si="1"/>
        <v>45.26666667</v>
      </c>
      <c r="N58" s="29">
        <f t="shared" si="2"/>
        <v>3</v>
      </c>
      <c r="O58" s="30" t="str">
        <f t="shared" si="5"/>
        <v>1</v>
      </c>
      <c r="P58" s="31">
        <f t="shared" si="6"/>
        <v>0</v>
      </c>
      <c r="Q58" s="32">
        <v>100.0</v>
      </c>
      <c r="S58" s="150"/>
    </row>
    <row r="59">
      <c r="A59" s="18">
        <v>52.0</v>
      </c>
      <c r="B59" s="19">
        <v>1.11625201176E11</v>
      </c>
      <c r="C59" s="20" t="s">
        <v>240</v>
      </c>
      <c r="D59" s="21" t="s">
        <v>27</v>
      </c>
      <c r="E59" s="21" t="s">
        <v>30</v>
      </c>
      <c r="F59" s="21" t="s">
        <v>32</v>
      </c>
      <c r="G59" s="22"/>
      <c r="H59" s="146">
        <v>77.0</v>
      </c>
      <c r="I59" s="147">
        <v>90.0</v>
      </c>
      <c r="J59" s="151">
        <v>73.0</v>
      </c>
      <c r="K59" s="26">
        <v>67.0</v>
      </c>
      <c r="L59" s="149">
        <v>77.0</v>
      </c>
      <c r="M59" s="28">
        <f t="shared" si="1"/>
        <v>76.8</v>
      </c>
      <c r="N59" s="29">
        <f t="shared" si="2"/>
        <v>0</v>
      </c>
      <c r="O59" s="30" t="str">
        <f t="shared" si="5"/>
        <v>0</v>
      </c>
      <c r="P59" s="31">
        <f t="shared" si="6"/>
        <v>0</v>
      </c>
      <c r="Q59" s="32">
        <v>100.0</v>
      </c>
      <c r="S59" s="150"/>
    </row>
    <row r="60">
      <c r="A60" s="18">
        <v>53.0</v>
      </c>
      <c r="B60" s="19">
        <v>1.11625201177E11</v>
      </c>
      <c r="C60" s="20" t="s">
        <v>241</v>
      </c>
      <c r="D60" s="21" t="s">
        <v>27</v>
      </c>
      <c r="E60" s="21" t="s">
        <v>30</v>
      </c>
      <c r="F60" s="21" t="s">
        <v>23</v>
      </c>
      <c r="G60" s="22"/>
      <c r="H60" s="146">
        <v>67.0</v>
      </c>
      <c r="I60" s="147">
        <v>80.0</v>
      </c>
      <c r="J60" s="151">
        <v>80.0</v>
      </c>
      <c r="K60" s="26" t="s">
        <v>25</v>
      </c>
      <c r="L60" s="149">
        <v>63.0</v>
      </c>
      <c r="M60" s="28">
        <f t="shared" si="1"/>
        <v>58</v>
      </c>
      <c r="N60" s="29">
        <f t="shared" si="2"/>
        <v>1</v>
      </c>
      <c r="O60" s="30" t="str">
        <f t="shared" si="5"/>
        <v>1</v>
      </c>
      <c r="P60" s="31">
        <f t="shared" si="6"/>
        <v>1</v>
      </c>
      <c r="Q60" s="32">
        <v>94.0</v>
      </c>
      <c r="S60" s="150"/>
    </row>
    <row r="61">
      <c r="A61" s="18">
        <v>54.0</v>
      </c>
      <c r="B61" s="19">
        <v>1.11625201178E11</v>
      </c>
      <c r="C61" s="20" t="s">
        <v>242</v>
      </c>
      <c r="D61" s="21" t="s">
        <v>23</v>
      </c>
      <c r="E61" s="21" t="s">
        <v>24</v>
      </c>
      <c r="F61" s="21" t="s">
        <v>23</v>
      </c>
      <c r="G61" s="22"/>
      <c r="H61" s="146">
        <v>50.0</v>
      </c>
      <c r="I61" s="147">
        <v>66.66666666666666</v>
      </c>
      <c r="J61" s="151">
        <v>63.0</v>
      </c>
      <c r="K61" s="26">
        <v>57.0</v>
      </c>
      <c r="L61" s="149">
        <v>63.0</v>
      </c>
      <c r="M61" s="28">
        <f t="shared" si="1"/>
        <v>59.93333333</v>
      </c>
      <c r="N61" s="29">
        <f t="shared" si="2"/>
        <v>0</v>
      </c>
      <c r="O61" s="30" t="str">
        <f t="shared" si="5"/>
        <v>0</v>
      </c>
      <c r="P61" s="31">
        <f t="shared" si="6"/>
        <v>0</v>
      </c>
      <c r="Q61" s="32">
        <v>98.0</v>
      </c>
      <c r="S61" s="150"/>
    </row>
    <row r="62">
      <c r="A62" s="18">
        <v>55.0</v>
      </c>
      <c r="B62" s="19">
        <v>1.11625201179E11</v>
      </c>
      <c r="C62" s="20" t="s">
        <v>243</v>
      </c>
      <c r="D62" s="21" t="s">
        <v>23</v>
      </c>
      <c r="E62" s="21" t="s">
        <v>30</v>
      </c>
      <c r="F62" s="21" t="s">
        <v>23</v>
      </c>
      <c r="G62" s="22"/>
      <c r="H62" s="146">
        <v>77.0</v>
      </c>
      <c r="I62" s="147">
        <v>80.0</v>
      </c>
      <c r="J62" s="151">
        <v>53.0</v>
      </c>
      <c r="K62" s="26" t="s">
        <v>25</v>
      </c>
      <c r="L62" s="149">
        <v>70.0</v>
      </c>
      <c r="M62" s="28">
        <f t="shared" si="1"/>
        <v>56</v>
      </c>
      <c r="N62" s="29">
        <f t="shared" si="2"/>
        <v>1</v>
      </c>
      <c r="O62" s="30" t="str">
        <f t="shared" si="5"/>
        <v>1</v>
      </c>
      <c r="P62" s="31">
        <f t="shared" si="6"/>
        <v>1</v>
      </c>
      <c r="Q62" s="32">
        <v>89.0</v>
      </c>
      <c r="S62" s="150"/>
    </row>
    <row r="63">
      <c r="A63" s="18">
        <v>56.0</v>
      </c>
      <c r="B63" s="19">
        <v>1.1162520118E11</v>
      </c>
      <c r="C63" s="20" t="s">
        <v>244</v>
      </c>
      <c r="D63" s="21" t="s">
        <v>27</v>
      </c>
      <c r="E63" s="21" t="s">
        <v>30</v>
      </c>
      <c r="F63" s="21" t="s">
        <v>23</v>
      </c>
      <c r="G63" s="22"/>
      <c r="H63" s="146">
        <v>97.0</v>
      </c>
      <c r="I63" s="147">
        <v>90.0</v>
      </c>
      <c r="J63" s="151">
        <v>77.0</v>
      </c>
      <c r="K63" s="26">
        <v>77.0</v>
      </c>
      <c r="L63" s="149">
        <v>67.0</v>
      </c>
      <c r="M63" s="28">
        <f t="shared" si="1"/>
        <v>81.6</v>
      </c>
      <c r="N63" s="29">
        <f t="shared" si="2"/>
        <v>0</v>
      </c>
      <c r="O63" s="30" t="str">
        <f t="shared" si="5"/>
        <v>0</v>
      </c>
      <c r="P63" s="31">
        <f t="shared" si="6"/>
        <v>0</v>
      </c>
      <c r="Q63" s="32">
        <v>100.0</v>
      </c>
      <c r="S63" s="150"/>
    </row>
    <row r="64">
      <c r="A64" s="18">
        <v>57.0</v>
      </c>
      <c r="B64" s="19">
        <v>1.11625201181E11</v>
      </c>
      <c r="C64" s="154" t="s">
        <v>245</v>
      </c>
      <c r="D64" s="21" t="s">
        <v>27</v>
      </c>
      <c r="E64" s="21" t="s">
        <v>24</v>
      </c>
      <c r="F64" s="21" t="s">
        <v>23</v>
      </c>
      <c r="G64" s="22"/>
      <c r="H64" s="146">
        <v>17.0</v>
      </c>
      <c r="I64" s="147">
        <v>73.33333333333333</v>
      </c>
      <c r="J64" s="151">
        <v>77.0</v>
      </c>
      <c r="K64" s="26">
        <v>53.0</v>
      </c>
      <c r="L64" s="149">
        <v>83.0</v>
      </c>
      <c r="M64" s="28">
        <f t="shared" si="1"/>
        <v>60.66666667</v>
      </c>
      <c r="N64" s="29">
        <f t="shared" si="2"/>
        <v>1</v>
      </c>
      <c r="O64" s="30" t="str">
        <f t="shared" si="5"/>
        <v>1</v>
      </c>
      <c r="P64" s="31">
        <f t="shared" si="6"/>
        <v>0</v>
      </c>
      <c r="Q64" s="32">
        <v>94.0</v>
      </c>
      <c r="S64" s="150"/>
    </row>
    <row r="65">
      <c r="A65" s="18">
        <v>58.0</v>
      </c>
      <c r="B65" s="19">
        <v>1.11625201182E11</v>
      </c>
      <c r="C65" s="20" t="s">
        <v>246</v>
      </c>
      <c r="D65" s="21" t="s">
        <v>23</v>
      </c>
      <c r="E65" s="21" t="s">
        <v>30</v>
      </c>
      <c r="F65" s="21" t="s">
        <v>32</v>
      </c>
      <c r="G65" s="22"/>
      <c r="H65" s="146">
        <v>57.0</v>
      </c>
      <c r="I65" s="147">
        <v>30.0</v>
      </c>
      <c r="J65" s="151">
        <v>50.0</v>
      </c>
      <c r="K65" s="26">
        <v>57.0</v>
      </c>
      <c r="L65" s="149">
        <v>80.0</v>
      </c>
      <c r="M65" s="28">
        <f t="shared" si="1"/>
        <v>54.8</v>
      </c>
      <c r="N65" s="29">
        <f t="shared" si="2"/>
        <v>1</v>
      </c>
      <c r="O65" s="30" t="str">
        <f t="shared" si="5"/>
        <v>1</v>
      </c>
      <c r="P65" s="31">
        <f t="shared" si="6"/>
        <v>0</v>
      </c>
      <c r="Q65" s="32">
        <v>100.0</v>
      </c>
      <c r="S65" s="150"/>
    </row>
    <row r="66">
      <c r="A66" s="18">
        <v>59.0</v>
      </c>
      <c r="B66" s="19">
        <v>1.11625201183E11</v>
      </c>
      <c r="C66" s="20" t="s">
        <v>247</v>
      </c>
      <c r="D66" s="21" t="s">
        <v>23</v>
      </c>
      <c r="E66" s="21" t="s">
        <v>24</v>
      </c>
      <c r="F66" s="21" t="s">
        <v>23</v>
      </c>
      <c r="G66" s="22"/>
      <c r="H66" s="146">
        <v>50.0</v>
      </c>
      <c r="I66" s="147">
        <v>53.333333333333336</v>
      </c>
      <c r="J66" s="151">
        <v>43.0</v>
      </c>
      <c r="K66" s="26">
        <v>0.0</v>
      </c>
      <c r="L66" s="149">
        <v>37.0</v>
      </c>
      <c r="M66" s="28">
        <f t="shared" si="1"/>
        <v>36.66666667</v>
      </c>
      <c r="N66" s="29">
        <f t="shared" si="2"/>
        <v>3</v>
      </c>
      <c r="O66" s="30" t="str">
        <f t="shared" si="5"/>
        <v>1</v>
      </c>
      <c r="P66" s="31">
        <f t="shared" si="6"/>
        <v>0</v>
      </c>
      <c r="Q66" s="32">
        <v>100.0</v>
      </c>
      <c r="S66" s="150"/>
    </row>
    <row r="67">
      <c r="A67" s="18">
        <v>60.0</v>
      </c>
      <c r="B67" s="19">
        <v>1.11625201184E11</v>
      </c>
      <c r="C67" s="20" t="s">
        <v>248</v>
      </c>
      <c r="D67" s="21" t="s">
        <v>23</v>
      </c>
      <c r="E67" s="21" t="s">
        <v>24</v>
      </c>
      <c r="F67" s="21" t="s">
        <v>32</v>
      </c>
      <c r="G67" s="22"/>
      <c r="H67" s="146">
        <v>73.0</v>
      </c>
      <c r="I67" s="152">
        <v>57.0</v>
      </c>
      <c r="J67" s="151">
        <v>53.0</v>
      </c>
      <c r="K67" s="26">
        <v>80.0</v>
      </c>
      <c r="L67" s="149">
        <v>83.0</v>
      </c>
      <c r="M67" s="28">
        <f t="shared" si="1"/>
        <v>69.2</v>
      </c>
      <c r="N67" s="29">
        <f t="shared" si="2"/>
        <v>0</v>
      </c>
      <c r="O67" s="30" t="str">
        <f t="shared" si="5"/>
        <v>0</v>
      </c>
      <c r="P67" s="31">
        <f t="shared" si="6"/>
        <v>0</v>
      </c>
      <c r="Q67" s="32">
        <v>96.0</v>
      </c>
      <c r="S67" s="150"/>
    </row>
    <row r="68">
      <c r="A68" s="18">
        <v>61.0</v>
      </c>
      <c r="B68" s="19">
        <v>1.11625201185E11</v>
      </c>
      <c r="C68" s="20" t="s">
        <v>249</v>
      </c>
      <c r="D68" s="21" t="s">
        <v>23</v>
      </c>
      <c r="E68" s="21" t="s">
        <v>30</v>
      </c>
      <c r="F68" s="21" t="s">
        <v>23</v>
      </c>
      <c r="G68" s="22"/>
      <c r="H68" s="146">
        <v>27.0</v>
      </c>
      <c r="I68" s="152">
        <v>43.0</v>
      </c>
      <c r="J68" s="151">
        <v>50.0</v>
      </c>
      <c r="K68" s="155">
        <v>10.0</v>
      </c>
      <c r="L68" s="149">
        <v>53.0</v>
      </c>
      <c r="M68" s="28">
        <f t="shared" si="1"/>
        <v>36.6</v>
      </c>
      <c r="N68" s="29">
        <f t="shared" si="2"/>
        <v>3</v>
      </c>
      <c r="O68" s="30" t="str">
        <f t="shared" si="5"/>
        <v>1</v>
      </c>
      <c r="P68" s="31">
        <f t="shared" si="6"/>
        <v>0</v>
      </c>
      <c r="Q68" s="32">
        <v>91.0</v>
      </c>
      <c r="S68" s="150"/>
    </row>
    <row r="69">
      <c r="A69" s="18">
        <v>62.0</v>
      </c>
      <c r="B69" s="19">
        <v>1.11625201186E11</v>
      </c>
      <c r="C69" s="20" t="s">
        <v>250</v>
      </c>
      <c r="D69" s="21" t="s">
        <v>23</v>
      </c>
      <c r="E69" s="21" t="s">
        <v>24</v>
      </c>
      <c r="F69" s="21" t="s">
        <v>23</v>
      </c>
      <c r="G69" s="22"/>
      <c r="H69" s="146">
        <v>50.0</v>
      </c>
      <c r="I69" s="152">
        <v>60.0</v>
      </c>
      <c r="J69" s="151">
        <v>23.0</v>
      </c>
      <c r="K69" s="155">
        <v>13.0</v>
      </c>
      <c r="L69" s="149">
        <v>50.0</v>
      </c>
      <c r="M69" s="28">
        <f t="shared" si="1"/>
        <v>39.2</v>
      </c>
      <c r="N69" s="29">
        <f t="shared" si="2"/>
        <v>2</v>
      </c>
      <c r="O69" s="30" t="str">
        <f t="shared" si="5"/>
        <v>1</v>
      </c>
      <c r="P69" s="31">
        <f t="shared" si="6"/>
        <v>0</v>
      </c>
      <c r="Q69" s="32">
        <v>94.0</v>
      </c>
      <c r="S69" s="150"/>
    </row>
    <row r="70">
      <c r="A70" s="30"/>
      <c r="B70" s="46"/>
      <c r="C70" s="47" t="s">
        <v>89</v>
      </c>
      <c r="D70" s="9"/>
      <c r="E70" s="9"/>
      <c r="F70" s="48"/>
      <c r="G70" s="49"/>
      <c r="H70" s="50">
        <f>COUNT(A8:A69)</f>
        <v>62</v>
      </c>
      <c r="I70" s="50">
        <f>COUNT(A8:A69)</f>
        <v>62</v>
      </c>
      <c r="J70" s="50">
        <f>COUNT(A8:A69)</f>
        <v>62</v>
      </c>
      <c r="K70" s="50">
        <f>COUNT(A8:A69)</f>
        <v>62</v>
      </c>
      <c r="L70" s="50">
        <f>COUNT(A8:A69)</f>
        <v>62</v>
      </c>
      <c r="M70" s="51"/>
      <c r="N70" s="45"/>
      <c r="O70" s="2"/>
      <c r="P70" s="2"/>
      <c r="Q70" s="156"/>
    </row>
    <row r="71">
      <c r="A71" s="30"/>
      <c r="B71" s="46"/>
      <c r="C71" s="52" t="s">
        <v>90</v>
      </c>
      <c r="D71" s="9"/>
      <c r="E71" s="9"/>
      <c r="F71" s="48"/>
      <c r="G71" s="53"/>
      <c r="H71" s="54">
        <f t="shared" ref="H71:L71" si="7">H70-H72</f>
        <v>61</v>
      </c>
      <c r="I71" s="54">
        <f t="shared" si="7"/>
        <v>60</v>
      </c>
      <c r="J71" s="54">
        <f t="shared" si="7"/>
        <v>60</v>
      </c>
      <c r="K71" s="54">
        <f t="shared" si="7"/>
        <v>55</v>
      </c>
      <c r="L71" s="54">
        <f t="shared" si="7"/>
        <v>61</v>
      </c>
      <c r="M71" s="51"/>
      <c r="N71" s="45"/>
      <c r="O71" s="2"/>
      <c r="P71" s="2"/>
      <c r="Q71" s="2"/>
    </row>
    <row r="72">
      <c r="A72" s="30"/>
      <c r="B72" s="46"/>
      <c r="C72" s="55" t="s">
        <v>91</v>
      </c>
      <c r="D72" s="9"/>
      <c r="E72" s="9"/>
      <c r="F72" s="48"/>
      <c r="G72" s="56"/>
      <c r="H72" s="57">
        <f t="shared" ref="H72:L72" si="8">(COUNTIF((H8:H69),"=A"))</f>
        <v>1</v>
      </c>
      <c r="I72" s="57">
        <f t="shared" si="8"/>
        <v>2</v>
      </c>
      <c r="J72" s="57">
        <f t="shared" si="8"/>
        <v>2</v>
      </c>
      <c r="K72" s="57">
        <f t="shared" si="8"/>
        <v>7</v>
      </c>
      <c r="L72" s="57">
        <f t="shared" si="8"/>
        <v>1</v>
      </c>
      <c r="M72" s="51"/>
      <c r="N72" s="45"/>
      <c r="O72" s="2"/>
      <c r="P72" s="2"/>
      <c r="Q72" s="2"/>
    </row>
    <row r="73">
      <c r="A73" s="30"/>
      <c r="B73" s="46"/>
      <c r="C73" s="58" t="s">
        <v>92</v>
      </c>
      <c r="D73" s="9"/>
      <c r="E73" s="9"/>
      <c r="F73" s="48"/>
      <c r="G73" s="59"/>
      <c r="H73" s="60">
        <f t="shared" ref="H73:L73" si="9">H70-(H74+H72)</f>
        <v>56</v>
      </c>
      <c r="I73" s="60">
        <f t="shared" si="9"/>
        <v>55</v>
      </c>
      <c r="J73" s="60">
        <f t="shared" si="9"/>
        <v>50</v>
      </c>
      <c r="K73" s="60">
        <f t="shared" si="9"/>
        <v>40</v>
      </c>
      <c r="L73" s="60">
        <f t="shared" si="9"/>
        <v>53</v>
      </c>
      <c r="M73" s="51"/>
      <c r="N73" s="45"/>
      <c r="O73" s="2"/>
      <c r="P73" s="2"/>
      <c r="Q73" s="2"/>
    </row>
    <row r="74">
      <c r="A74" s="30"/>
      <c r="B74" s="61"/>
      <c r="C74" s="62" t="s">
        <v>93</v>
      </c>
      <c r="D74" s="9"/>
      <c r="E74" s="9"/>
      <c r="F74" s="48"/>
      <c r="G74" s="63"/>
      <c r="H74" s="64">
        <f>(COUNTIF((H8:H69),"&lt;50"))</f>
        <v>5</v>
      </c>
      <c r="I74" s="64">
        <f t="shared" ref="I74:L74" si="10">COUNTIF((I8:I69),"&lt;50")</f>
        <v>5</v>
      </c>
      <c r="J74" s="64">
        <f t="shared" si="10"/>
        <v>10</v>
      </c>
      <c r="K74" s="64">
        <f t="shared" si="10"/>
        <v>15</v>
      </c>
      <c r="L74" s="64">
        <f t="shared" si="10"/>
        <v>8</v>
      </c>
      <c r="M74" s="51"/>
      <c r="N74" s="45"/>
      <c r="O74" s="2"/>
      <c r="P74" s="2"/>
      <c r="Q74" s="2"/>
    </row>
    <row r="75">
      <c r="A75" s="30"/>
      <c r="B75" s="61"/>
      <c r="C75" s="65" t="s">
        <v>94</v>
      </c>
      <c r="D75" s="9"/>
      <c r="E75" s="9"/>
      <c r="F75" s="48"/>
      <c r="G75" s="66"/>
      <c r="H75" s="67">
        <f t="shared" ref="H75:L75" si="11">(H73/H71)*100</f>
        <v>91.80327869</v>
      </c>
      <c r="I75" s="67">
        <f t="shared" si="11"/>
        <v>91.66666667</v>
      </c>
      <c r="J75" s="67">
        <f t="shared" si="11"/>
        <v>83.33333333</v>
      </c>
      <c r="K75" s="67">
        <f t="shared" si="11"/>
        <v>72.72727273</v>
      </c>
      <c r="L75" s="67">
        <f t="shared" si="11"/>
        <v>86.8852459</v>
      </c>
      <c r="M75" s="68"/>
      <c r="N75" s="45"/>
      <c r="O75" s="2"/>
      <c r="P75" s="2"/>
      <c r="Q75" s="2"/>
    </row>
    <row r="76">
      <c r="A76" s="30"/>
      <c r="B76" s="61"/>
      <c r="C76" s="69" t="s">
        <v>95</v>
      </c>
      <c r="D76" s="9"/>
      <c r="E76" s="9"/>
      <c r="F76" s="48"/>
      <c r="G76" s="70"/>
      <c r="H76" s="71">
        <f>COUNTIFS(N8:N69,"=1", H8:H69,"&lt;50")+COUNTIFS(N8:N69,"=1", H8:H69,"=A")</f>
        <v>2</v>
      </c>
      <c r="I76" s="71">
        <f>COUNTIFS(N8:N68,"=1", I8:I68,"&lt;50")+COUNTIFS(N8:N68,"=1", I8:I68,"=A")</f>
        <v>1</v>
      </c>
      <c r="J76" s="71">
        <f>COUNTIFS(N8:N68,"=1", J8:J68,"&lt;50")+COUNTIFS(N8:N68,"=1", J8:J68,"=A")</f>
        <v>0</v>
      </c>
      <c r="K76" s="71">
        <f>COUNTIFS(N8:N68,"=1", K8:K68,"&lt;50")+COUNTIFS(N8:N68,"=1", K8:K68,"=A")</f>
        <v>7</v>
      </c>
      <c r="L76" s="71">
        <f>COUNTIFS(N8:N68,"=1", L8:L68,"&lt;50")+COUNTIFS(N8:N68,"=1", L8:L68,"=A")</f>
        <v>3</v>
      </c>
      <c r="M76" s="51"/>
      <c r="N76" s="45"/>
      <c r="O76" s="2"/>
      <c r="P76" s="2"/>
      <c r="Q76" s="2"/>
    </row>
    <row r="77">
      <c r="A77" s="30"/>
      <c r="B77" s="2"/>
      <c r="C77" s="72"/>
      <c r="D77" s="43"/>
      <c r="E77" s="43"/>
      <c r="F77" s="43"/>
      <c r="G77" s="30"/>
      <c r="H77" s="73"/>
      <c r="I77" s="30"/>
      <c r="J77" s="74"/>
      <c r="K77" s="30"/>
      <c r="L77" s="74"/>
      <c r="M77" s="30"/>
      <c r="N77" s="45"/>
      <c r="O77" s="2"/>
      <c r="P77" s="2"/>
      <c r="Q77" s="2"/>
    </row>
    <row r="78">
      <c r="A78" s="30"/>
      <c r="B78" s="61"/>
      <c r="C78" s="75" t="s">
        <v>96</v>
      </c>
      <c r="D78" s="9"/>
      <c r="E78" s="9"/>
      <c r="F78" s="48"/>
      <c r="G78" s="76"/>
      <c r="H78" s="77">
        <f>COUNTIF((N8:N69),"=0")</f>
        <v>32</v>
      </c>
      <c r="I78" s="68"/>
      <c r="J78" s="74"/>
      <c r="K78" s="30"/>
      <c r="L78" s="74"/>
      <c r="M78" s="30"/>
      <c r="N78" s="45"/>
      <c r="O78" s="2"/>
      <c r="P78" s="2"/>
      <c r="Q78" s="2"/>
    </row>
    <row r="79">
      <c r="A79" s="30"/>
      <c r="B79" s="61"/>
      <c r="C79" s="75" t="s">
        <v>97</v>
      </c>
      <c r="D79" s="9"/>
      <c r="E79" s="9"/>
      <c r="F79" s="48"/>
      <c r="G79" s="76"/>
      <c r="H79" s="77">
        <f>(COUNTIF((N8:N69),"&gt;0"))</f>
        <v>30</v>
      </c>
      <c r="I79" s="2"/>
      <c r="J79" s="74"/>
      <c r="K79" s="30"/>
      <c r="L79" s="74"/>
      <c r="M79" s="30"/>
      <c r="N79" s="45"/>
      <c r="O79" s="2"/>
      <c r="P79" s="2"/>
      <c r="Q79" s="2"/>
    </row>
    <row r="80">
      <c r="A80" s="30"/>
      <c r="B80" s="61"/>
      <c r="C80" s="75" t="s">
        <v>98</v>
      </c>
      <c r="D80" s="9"/>
      <c r="E80" s="9"/>
      <c r="F80" s="48"/>
      <c r="G80" s="76"/>
      <c r="H80" s="77">
        <f>(COUNTIF((P8:P69),"=5"))</f>
        <v>0</v>
      </c>
      <c r="I80" s="2"/>
      <c r="J80" s="74"/>
      <c r="K80" s="30"/>
      <c r="L80" s="74"/>
      <c r="M80" s="30"/>
      <c r="N80" s="45"/>
      <c r="O80" s="2"/>
      <c r="P80" s="2"/>
      <c r="Q80" s="2"/>
    </row>
    <row r="81">
      <c r="A81" s="30"/>
      <c r="B81" s="61"/>
      <c r="C81" s="75" t="s">
        <v>99</v>
      </c>
      <c r="D81" s="9"/>
      <c r="E81" s="9"/>
      <c r="F81" s="48"/>
      <c r="G81" s="78"/>
      <c r="H81" s="77">
        <f>COUNT(A8:A69)-H80</f>
        <v>62</v>
      </c>
      <c r="I81" s="2"/>
      <c r="J81" s="74"/>
      <c r="K81" s="30"/>
      <c r="L81" s="74"/>
      <c r="M81" s="30"/>
      <c r="N81" s="45"/>
      <c r="O81" s="2"/>
      <c r="P81" s="2"/>
      <c r="Q81" s="2"/>
    </row>
    <row r="82">
      <c r="A82" s="30"/>
      <c r="B82" s="61"/>
      <c r="C82" s="75" t="s">
        <v>100</v>
      </c>
      <c r="D82" s="9"/>
      <c r="E82" s="9"/>
      <c r="F82" s="48"/>
      <c r="G82" s="78"/>
      <c r="H82" s="79">
        <f>(H78/H81)*100</f>
        <v>51.61290323</v>
      </c>
      <c r="I82" s="2"/>
      <c r="J82" s="74"/>
      <c r="K82" s="30"/>
      <c r="L82" s="74"/>
      <c r="M82" s="30"/>
      <c r="N82" s="45"/>
      <c r="O82" s="2"/>
      <c r="P82" s="2"/>
      <c r="Q82" s="2"/>
    </row>
    <row r="83">
      <c r="A83" s="30"/>
      <c r="B83" s="61"/>
      <c r="C83" s="75" t="s">
        <v>101</v>
      </c>
      <c r="D83" s="9"/>
      <c r="E83" s="9"/>
      <c r="F83" s="48"/>
      <c r="G83" s="78"/>
      <c r="H83" s="80">
        <f>max(M8:M68)</f>
        <v>87.93333333</v>
      </c>
      <c r="I83" s="30"/>
      <c r="J83" s="74"/>
      <c r="K83" s="30"/>
      <c r="L83" s="74"/>
      <c r="M83" s="30"/>
      <c r="N83" s="45"/>
      <c r="O83" s="2"/>
      <c r="P83" s="2"/>
      <c r="Q83" s="2"/>
    </row>
    <row r="84" ht="1.5" customHeight="1">
      <c r="A84" s="30"/>
      <c r="B84" s="2"/>
      <c r="C84" s="2"/>
      <c r="D84" s="30"/>
      <c r="E84" s="30"/>
      <c r="F84" s="30"/>
      <c r="G84" s="30"/>
      <c r="H84" s="74"/>
      <c r="I84" s="30"/>
      <c r="J84" s="74"/>
      <c r="K84" s="30"/>
      <c r="L84" s="74"/>
      <c r="M84" s="30"/>
      <c r="N84" s="45"/>
      <c r="O84" s="2"/>
      <c r="P84" s="2"/>
      <c r="Q84" s="2"/>
    </row>
    <row r="85" ht="1.5" customHeight="1">
      <c r="A85" s="30"/>
      <c r="B85" s="2"/>
      <c r="C85" s="2"/>
      <c r="D85" s="2"/>
      <c r="E85" s="2"/>
      <c r="F85" s="2"/>
      <c r="G85" s="2"/>
      <c r="H85" s="83"/>
      <c r="I85" s="2"/>
      <c r="J85" s="83"/>
      <c r="K85" s="2"/>
      <c r="L85" s="83"/>
      <c r="M85" s="2"/>
      <c r="N85" s="81"/>
      <c r="O85" s="82"/>
      <c r="P85" s="2"/>
      <c r="Q85" s="2"/>
    </row>
    <row r="86" hidden="1">
      <c r="A86" s="85"/>
      <c r="B86" s="86" t="s">
        <v>102</v>
      </c>
      <c r="C86" s="87" t="s">
        <v>103</v>
      </c>
      <c r="D86" s="157"/>
      <c r="E86" s="157"/>
      <c r="F86" s="157"/>
      <c r="G86" s="89"/>
      <c r="H86" s="90">
        <f>COUNTIFS(N8:N68,"&gt;0", E8:E68,"=H")</f>
        <v>9</v>
      </c>
      <c r="I86" s="91">
        <f>(H73-H86)/H73*100</f>
        <v>83.92857143</v>
      </c>
      <c r="J86" s="74"/>
      <c r="K86" s="30"/>
      <c r="L86" s="74"/>
      <c r="M86" s="30"/>
      <c r="N86" s="81"/>
      <c r="O86" s="82"/>
      <c r="P86" s="2"/>
      <c r="Q86" s="2"/>
    </row>
    <row r="87" hidden="1">
      <c r="A87" s="85"/>
      <c r="B87" s="48"/>
      <c r="C87" s="87" t="s">
        <v>104</v>
      </c>
      <c r="D87" s="157"/>
      <c r="E87" s="157"/>
      <c r="F87" s="157"/>
      <c r="G87" s="89"/>
      <c r="H87" s="92">
        <f>COUNTIFS(N8:N68,"&gt;0", E8:E68,"=D")</f>
        <v>20</v>
      </c>
      <c r="I87" s="91">
        <f>(H73-H87)/H73*100</f>
        <v>64.28571429</v>
      </c>
      <c r="J87" s="74"/>
      <c r="K87" s="30"/>
      <c r="L87" s="74"/>
      <c r="M87" s="30"/>
      <c r="N87" s="81"/>
      <c r="O87" s="82"/>
      <c r="P87" s="2"/>
      <c r="Q87" s="2"/>
    </row>
    <row r="88" hidden="1">
      <c r="A88" s="85"/>
      <c r="B88" s="93" t="s">
        <v>105</v>
      </c>
      <c r="C88" s="94" t="s">
        <v>106</v>
      </c>
      <c r="D88" s="158"/>
      <c r="E88" s="158"/>
      <c r="F88" s="158"/>
      <c r="G88" s="96"/>
      <c r="H88" s="97">
        <f>COUNTIFS(N8:N68,"&gt;0", D8:D68,"=G")</f>
        <v>11</v>
      </c>
      <c r="I88" s="98">
        <f>(H73-H88)/H73*100</f>
        <v>80.35714286</v>
      </c>
      <c r="J88" s="74"/>
      <c r="K88" s="30"/>
      <c r="L88" s="74"/>
      <c r="M88" s="30"/>
      <c r="N88" s="81"/>
      <c r="O88" s="82"/>
      <c r="P88" s="2"/>
      <c r="Q88" s="2"/>
    </row>
    <row r="89" hidden="1">
      <c r="A89" s="85"/>
      <c r="B89" s="48"/>
      <c r="C89" s="94" t="s">
        <v>107</v>
      </c>
      <c r="D89" s="158"/>
      <c r="E89" s="158"/>
      <c r="F89" s="158"/>
      <c r="G89" s="96"/>
      <c r="H89" s="99">
        <f>COUNTIFS(N8:N68,"&gt;0", D8:D68,"=M")</f>
        <v>18</v>
      </c>
      <c r="I89" s="98">
        <f>(H73-H89)/H73*100</f>
        <v>67.85714286</v>
      </c>
      <c r="J89" s="74"/>
      <c r="K89" s="30"/>
      <c r="L89" s="74"/>
      <c r="M89" s="30"/>
      <c r="N89" s="81"/>
      <c r="O89" s="82"/>
      <c r="P89" s="2"/>
      <c r="Q89" s="2"/>
    </row>
    <row r="90" hidden="1">
      <c r="A90" s="85"/>
      <c r="B90" s="100" t="s">
        <v>108</v>
      </c>
      <c r="C90" s="101" t="s">
        <v>109</v>
      </c>
      <c r="D90" s="159"/>
      <c r="E90" s="159"/>
      <c r="F90" s="159"/>
      <c r="G90" s="103"/>
      <c r="H90" s="104" t="str">
        <f>COUNTIFS(N8:N68,"&gt;0", #REF!,"=T")</f>
        <v>#VALUE!</v>
      </c>
      <c r="I90" s="105" t="str">
        <f>(H73-H90)/H73*100</f>
        <v>#VALUE!</v>
      </c>
      <c r="J90" s="74"/>
      <c r="K90" s="30"/>
      <c r="L90" s="74"/>
      <c r="M90" s="30"/>
      <c r="N90" s="81"/>
      <c r="O90" s="82"/>
      <c r="P90" s="2"/>
      <c r="Q90" s="2"/>
    </row>
    <row r="91" hidden="1">
      <c r="A91" s="85"/>
      <c r="B91" s="48"/>
      <c r="C91" s="101" t="s">
        <v>110</v>
      </c>
      <c r="D91" s="159"/>
      <c r="E91" s="159"/>
      <c r="F91" s="159"/>
      <c r="G91" s="103"/>
      <c r="H91" s="104" t="str">
        <f>COUNTIFS(N8:N68,"&gt;0", #REF!,"=E")</f>
        <v>#VALUE!</v>
      </c>
      <c r="I91" s="105" t="str">
        <f>(H73-H91)/H73*100</f>
        <v>#VALUE!</v>
      </c>
      <c r="J91" s="74"/>
      <c r="K91" s="30"/>
      <c r="L91" s="74"/>
      <c r="M91" s="30"/>
      <c r="N91" s="81"/>
      <c r="O91" s="82"/>
      <c r="P91" s="2"/>
      <c r="Q91" s="2"/>
    </row>
    <row r="92" hidden="1">
      <c r="A92" s="85"/>
      <c r="B92" s="106" t="s">
        <v>111</v>
      </c>
      <c r="C92" s="107" t="s">
        <v>112</v>
      </c>
      <c r="D92" s="160"/>
      <c r="E92" s="160"/>
      <c r="F92" s="160"/>
      <c r="G92" s="109"/>
      <c r="H92" s="110">
        <f>COUNTIFS(N8:N68,"&gt;0", F8:F68,"=G")</f>
        <v>0</v>
      </c>
      <c r="I92" s="111">
        <f>(H75-H92)/H75*100</f>
        <v>100</v>
      </c>
      <c r="J92" s="74"/>
      <c r="K92" s="30"/>
      <c r="L92" s="74"/>
      <c r="M92" s="30"/>
      <c r="N92" s="81"/>
      <c r="O92" s="82"/>
      <c r="P92" s="2"/>
      <c r="Q92" s="2"/>
    </row>
    <row r="93" ht="1.5" hidden="1" customHeight="1">
      <c r="A93" s="85"/>
      <c r="B93" s="48"/>
      <c r="C93" s="107" t="s">
        <v>113</v>
      </c>
      <c r="D93" s="160"/>
      <c r="E93" s="160"/>
      <c r="F93" s="160"/>
      <c r="G93" s="109"/>
      <c r="H93" s="110">
        <f>COUNTIFS(N8:N68,"&gt;0", F8:F68,"=B")</f>
        <v>0</v>
      </c>
      <c r="I93" s="111">
        <f>(H75-H93)/H75*100</f>
        <v>100</v>
      </c>
      <c r="J93" s="74"/>
      <c r="K93" s="30"/>
      <c r="L93" s="74"/>
      <c r="M93" s="30"/>
      <c r="N93" s="81"/>
      <c r="O93" s="82"/>
      <c r="P93" s="2"/>
      <c r="Q93" s="2"/>
    </row>
    <row r="94" ht="3.0" customHeight="1">
      <c r="A94" s="30"/>
      <c r="B94" s="2"/>
      <c r="C94" s="41"/>
      <c r="D94" s="43"/>
      <c r="E94" s="43"/>
      <c r="F94" s="43"/>
      <c r="G94" s="43"/>
      <c r="H94" s="84"/>
      <c r="I94" s="43"/>
      <c r="J94" s="42"/>
      <c r="K94" s="43"/>
      <c r="L94" s="42"/>
      <c r="M94" s="30"/>
      <c r="N94" s="81"/>
      <c r="O94" s="82"/>
      <c r="P94" s="2"/>
      <c r="Q94" s="2"/>
    </row>
    <row r="95">
      <c r="A95" s="30"/>
      <c r="B95" s="61"/>
      <c r="C95" s="112" t="s">
        <v>114</v>
      </c>
      <c r="D95" s="9"/>
      <c r="E95" s="9"/>
      <c r="F95" s="48"/>
      <c r="G95" s="113"/>
      <c r="H95" s="114" t="s">
        <v>115</v>
      </c>
      <c r="I95" s="114" t="s">
        <v>116</v>
      </c>
      <c r="J95" s="114" t="s">
        <v>117</v>
      </c>
      <c r="K95" s="114" t="s">
        <v>118</v>
      </c>
      <c r="L95" s="145" t="s">
        <v>119</v>
      </c>
      <c r="M95" s="116" t="s">
        <v>120</v>
      </c>
      <c r="N95" s="51"/>
      <c r="O95" s="51"/>
      <c r="P95" s="2"/>
      <c r="Q95" s="2"/>
    </row>
    <row r="96">
      <c r="A96" s="30"/>
      <c r="B96" s="61"/>
      <c r="C96" s="117" t="s">
        <v>121</v>
      </c>
      <c r="D96" s="9"/>
      <c r="E96" s="9"/>
      <c r="F96" s="48"/>
      <c r="G96" s="118"/>
      <c r="H96" s="119">
        <f>COUNTIF(F8:F68,"=F")</f>
        <v>28</v>
      </c>
      <c r="I96" s="119">
        <f>(COUNTIF((F8:F69),"=M"))</f>
        <v>34</v>
      </c>
      <c r="J96" s="119">
        <f>(COUNTIF((D8:D69),"=M"))</f>
        <v>30</v>
      </c>
      <c r="K96" s="119">
        <f>(COUNTIF((D8:D69),"=G"))</f>
        <v>32</v>
      </c>
      <c r="L96" s="119">
        <f>(COUNTIF((E8:E68),"=D"))</f>
        <v>35</v>
      </c>
      <c r="M96" s="120">
        <f>(COUNTIF((E6:E69),"=H"))</f>
        <v>27</v>
      </c>
      <c r="N96" s="51"/>
      <c r="O96" s="51"/>
      <c r="P96" s="2"/>
      <c r="Q96" s="2"/>
    </row>
    <row r="97">
      <c r="A97" s="30"/>
      <c r="B97" s="61"/>
      <c r="C97" s="117" t="s">
        <v>122</v>
      </c>
      <c r="D97" s="9"/>
      <c r="E97" s="9"/>
      <c r="F97" s="48"/>
      <c r="G97" s="118"/>
      <c r="H97" s="119">
        <f>COUNTIFS(N8:N68,"=0", F8:F68,"=F")</f>
        <v>20</v>
      </c>
      <c r="I97" s="119">
        <f>COUNTIFS(N8:N69,"=0", F8:F69,"=M")</f>
        <v>12</v>
      </c>
      <c r="J97" s="119">
        <f>COUNTIFS(N8:N68,"=0", D8:D68,"=M")</f>
        <v>11</v>
      </c>
      <c r="K97" s="119">
        <f>COUNTIFS(N8:N69,"=0", D8:D69,"=G")</f>
        <v>21</v>
      </c>
      <c r="L97" s="119">
        <f>COUNTIFS(N8:N69,"=0", E8:E69,"=D")</f>
        <v>15</v>
      </c>
      <c r="M97" s="120">
        <f>COUNTIFS(N8:N69,"=0", E8:E69,"=H")</f>
        <v>17</v>
      </c>
      <c r="N97" s="51"/>
      <c r="O97" s="51"/>
      <c r="P97" s="2"/>
      <c r="Q97" s="2"/>
    </row>
    <row r="98">
      <c r="A98" s="30"/>
      <c r="B98" s="61"/>
      <c r="C98" s="117" t="s">
        <v>123</v>
      </c>
      <c r="D98" s="9"/>
      <c r="E98" s="9"/>
      <c r="F98" s="48"/>
      <c r="G98" s="118"/>
      <c r="H98" s="119">
        <f t="shared" ref="H98:M98" si="12">H96-H97</f>
        <v>8</v>
      </c>
      <c r="I98" s="119">
        <f t="shared" si="12"/>
        <v>22</v>
      </c>
      <c r="J98" s="119">
        <f t="shared" si="12"/>
        <v>19</v>
      </c>
      <c r="K98" s="119">
        <f t="shared" si="12"/>
        <v>11</v>
      </c>
      <c r="L98" s="119">
        <f t="shared" si="12"/>
        <v>20</v>
      </c>
      <c r="M98" s="120">
        <f t="shared" si="12"/>
        <v>10</v>
      </c>
      <c r="N98" s="51"/>
      <c r="O98" s="51"/>
      <c r="P98" s="2"/>
      <c r="Q98" s="2"/>
    </row>
    <row r="99">
      <c r="A99" s="30"/>
      <c r="B99" s="61"/>
      <c r="C99" s="121" t="s">
        <v>124</v>
      </c>
      <c r="D99" s="9"/>
      <c r="E99" s="9"/>
      <c r="F99" s="48"/>
      <c r="G99" s="118"/>
      <c r="H99" s="122">
        <f t="shared" ref="H99:M99" si="13">(H97/H96)*100</f>
        <v>71.42857143</v>
      </c>
      <c r="I99" s="122">
        <f t="shared" si="13"/>
        <v>35.29411765</v>
      </c>
      <c r="J99" s="122">
        <f t="shared" si="13"/>
        <v>36.66666667</v>
      </c>
      <c r="K99" s="122">
        <f t="shared" si="13"/>
        <v>65.625</v>
      </c>
      <c r="L99" s="122">
        <f t="shared" si="13"/>
        <v>42.85714286</v>
      </c>
      <c r="M99" s="123">
        <f t="shared" si="13"/>
        <v>62.96296296</v>
      </c>
      <c r="N99" s="68"/>
      <c r="O99" s="68"/>
      <c r="P99" s="2"/>
      <c r="Q99" s="2"/>
    </row>
    <row r="100" ht="1.5" customHeight="1">
      <c r="A100" s="30"/>
      <c r="B100" s="2"/>
      <c r="C100" s="2"/>
      <c r="D100" s="30"/>
      <c r="E100" s="30"/>
      <c r="F100" s="30"/>
      <c r="G100" s="30"/>
      <c r="H100" s="74"/>
      <c r="I100" s="30"/>
      <c r="J100" s="74"/>
      <c r="K100" s="30"/>
      <c r="L100" s="74"/>
      <c r="M100" s="30"/>
      <c r="N100" s="45"/>
      <c r="O100" s="2"/>
      <c r="P100" s="2"/>
      <c r="Q100" s="2"/>
    </row>
    <row r="101" ht="1.5" customHeight="1">
      <c r="A101" s="30"/>
      <c r="B101" s="2"/>
      <c r="C101" s="2"/>
      <c r="D101" s="30"/>
      <c r="E101" s="30"/>
      <c r="F101" s="30"/>
      <c r="G101" s="30"/>
      <c r="H101" s="74"/>
      <c r="I101" s="30"/>
      <c r="J101" s="74"/>
      <c r="K101" s="30"/>
      <c r="L101" s="74"/>
      <c r="M101" s="30"/>
      <c r="N101" s="45"/>
      <c r="O101" s="2"/>
      <c r="P101" s="2"/>
      <c r="Q101" s="2"/>
    </row>
    <row r="102" ht="1.5" customHeight="1">
      <c r="A102" s="30"/>
      <c r="B102" s="2"/>
      <c r="C102" s="2"/>
      <c r="D102" s="30"/>
      <c r="E102" s="30"/>
      <c r="F102" s="30"/>
      <c r="G102" s="30"/>
      <c r="H102" s="74"/>
      <c r="I102" s="30"/>
      <c r="J102" s="74"/>
      <c r="K102" s="30"/>
      <c r="L102" s="74"/>
      <c r="M102" s="30"/>
      <c r="N102" s="45"/>
      <c r="O102" s="2"/>
      <c r="P102" s="2"/>
      <c r="Q102" s="2"/>
    </row>
    <row r="103" ht="4.5" customHeight="1">
      <c r="A103" s="30"/>
      <c r="B103" s="2"/>
      <c r="C103" s="2"/>
      <c r="D103" s="30"/>
      <c r="E103" s="30"/>
      <c r="F103" s="30"/>
      <c r="G103" s="30"/>
      <c r="H103" s="74"/>
      <c r="I103" s="30"/>
      <c r="J103" s="74"/>
      <c r="K103" s="30"/>
      <c r="L103" s="74"/>
      <c r="M103" s="30"/>
      <c r="N103" s="45"/>
      <c r="O103" s="2"/>
      <c r="P103" s="2"/>
      <c r="Q103" s="2"/>
    </row>
    <row r="104">
      <c r="A104" s="30"/>
      <c r="B104" s="2"/>
      <c r="C104" s="2"/>
      <c r="D104" s="30"/>
      <c r="E104" s="30"/>
      <c r="F104" s="30"/>
      <c r="G104" s="30"/>
      <c r="H104" s="74"/>
      <c r="I104" s="30"/>
      <c r="J104" s="74"/>
      <c r="K104" s="30"/>
      <c r="L104" s="83"/>
      <c r="M104" s="30"/>
      <c r="N104" s="45"/>
      <c r="O104" s="2"/>
      <c r="P104" s="2"/>
      <c r="Q104" s="2"/>
    </row>
    <row r="105" ht="4.5" customHeight="1">
      <c r="H105" s="125"/>
      <c r="J105" s="125"/>
      <c r="L105" s="125"/>
    </row>
    <row r="106">
      <c r="H106" s="125"/>
      <c r="J106" s="125"/>
      <c r="L106" s="125"/>
    </row>
    <row r="107">
      <c r="H107" s="125"/>
      <c r="J107" s="125"/>
      <c r="L107" s="125"/>
    </row>
    <row r="108">
      <c r="H108" s="125"/>
      <c r="J108" s="125"/>
      <c r="L108" s="125"/>
    </row>
    <row r="109">
      <c r="H109" s="125"/>
      <c r="J109" s="125"/>
      <c r="L109" s="125"/>
    </row>
    <row r="110">
      <c r="H110" s="125"/>
      <c r="J110" s="125"/>
      <c r="L110" s="125"/>
    </row>
    <row r="111">
      <c r="H111" s="125"/>
      <c r="J111" s="125"/>
      <c r="L111" s="125"/>
    </row>
    <row r="112">
      <c r="H112" s="125"/>
      <c r="J112" s="125"/>
      <c r="L112" s="125"/>
    </row>
    <row r="113">
      <c r="H113" s="125"/>
      <c r="J113" s="125"/>
      <c r="L113" s="125"/>
    </row>
    <row r="114">
      <c r="H114" s="125"/>
      <c r="J114" s="125"/>
      <c r="L114" s="125"/>
    </row>
    <row r="115">
      <c r="H115" s="125"/>
      <c r="J115" s="125"/>
      <c r="L115" s="125"/>
    </row>
    <row r="116">
      <c r="H116" s="125"/>
      <c r="J116" s="125"/>
      <c r="L116" s="125"/>
    </row>
    <row r="117">
      <c r="H117" s="125"/>
      <c r="J117" s="125"/>
      <c r="L117" s="125"/>
    </row>
    <row r="118">
      <c r="H118" s="125"/>
      <c r="J118" s="125"/>
      <c r="L118" s="125"/>
    </row>
    <row r="119">
      <c r="H119" s="125"/>
      <c r="J119" s="125"/>
      <c r="L119" s="125"/>
    </row>
    <row r="120">
      <c r="H120" s="125"/>
      <c r="J120" s="125"/>
      <c r="L120" s="125"/>
    </row>
    <row r="121">
      <c r="H121" s="125"/>
      <c r="J121" s="125"/>
      <c r="L121" s="125"/>
    </row>
    <row r="122">
      <c r="H122" s="125"/>
      <c r="J122" s="125"/>
      <c r="L122" s="125"/>
    </row>
    <row r="123">
      <c r="H123" s="125"/>
      <c r="J123" s="125"/>
      <c r="L123" s="125"/>
    </row>
    <row r="124">
      <c r="H124" s="125"/>
      <c r="J124" s="125"/>
      <c r="L124" s="125"/>
    </row>
    <row r="125">
      <c r="H125" s="125"/>
      <c r="J125" s="125"/>
      <c r="L125" s="125"/>
    </row>
    <row r="126">
      <c r="H126" s="125"/>
      <c r="J126" s="125"/>
      <c r="L126" s="125"/>
    </row>
    <row r="127">
      <c r="H127" s="125"/>
      <c r="J127" s="125"/>
      <c r="L127" s="125"/>
    </row>
    <row r="128">
      <c r="H128" s="125"/>
      <c r="J128" s="125"/>
      <c r="L128" s="125"/>
    </row>
    <row r="129">
      <c r="H129" s="125"/>
      <c r="J129" s="125"/>
      <c r="L129" s="125"/>
    </row>
    <row r="130">
      <c r="H130" s="125"/>
      <c r="J130" s="125"/>
      <c r="L130" s="125"/>
    </row>
    <row r="131">
      <c r="H131" s="125"/>
      <c r="J131" s="125"/>
      <c r="L131" s="125"/>
    </row>
    <row r="132">
      <c r="H132" s="125"/>
      <c r="J132" s="125"/>
      <c r="L132" s="125"/>
    </row>
    <row r="133">
      <c r="H133" s="125"/>
      <c r="J133" s="125"/>
      <c r="L133" s="125"/>
    </row>
    <row r="134">
      <c r="H134" s="125"/>
      <c r="J134" s="125"/>
      <c r="L134" s="125"/>
    </row>
    <row r="135">
      <c r="H135" s="125"/>
      <c r="J135" s="125"/>
      <c r="L135" s="125"/>
    </row>
    <row r="136">
      <c r="H136" s="125"/>
      <c r="J136" s="125"/>
      <c r="L136" s="125"/>
    </row>
    <row r="137">
      <c r="H137" s="125"/>
      <c r="J137" s="125"/>
      <c r="L137" s="125"/>
    </row>
    <row r="138">
      <c r="H138" s="125"/>
      <c r="J138" s="125"/>
      <c r="L138" s="125"/>
    </row>
    <row r="139">
      <c r="H139" s="125"/>
      <c r="J139" s="125"/>
      <c r="L139" s="125"/>
    </row>
    <row r="140">
      <c r="H140" s="125"/>
      <c r="J140" s="125"/>
      <c r="L140" s="125"/>
    </row>
    <row r="141">
      <c r="H141" s="125"/>
      <c r="J141" s="125"/>
      <c r="L141" s="125"/>
    </row>
    <row r="142">
      <c r="H142" s="125"/>
      <c r="J142" s="125"/>
      <c r="L142" s="125"/>
    </row>
    <row r="143">
      <c r="H143" s="125"/>
      <c r="J143" s="125"/>
      <c r="L143" s="125"/>
    </row>
    <row r="144">
      <c r="H144" s="125"/>
      <c r="J144" s="125"/>
      <c r="L144" s="125"/>
    </row>
    <row r="145">
      <c r="H145" s="125"/>
      <c r="J145" s="125"/>
      <c r="L145" s="125"/>
    </row>
    <row r="146">
      <c r="H146" s="125"/>
      <c r="J146" s="125"/>
      <c r="L146" s="125"/>
    </row>
    <row r="147">
      <c r="H147" s="125"/>
      <c r="J147" s="125"/>
      <c r="L147" s="125"/>
    </row>
    <row r="148">
      <c r="H148" s="125"/>
      <c r="J148" s="125"/>
      <c r="L148" s="125"/>
    </row>
    <row r="149">
      <c r="H149" s="125"/>
      <c r="J149" s="125"/>
      <c r="L149" s="125"/>
    </row>
    <row r="150">
      <c r="H150" s="125"/>
      <c r="J150" s="125"/>
      <c r="L150" s="125"/>
    </row>
    <row r="151">
      <c r="H151" s="125"/>
      <c r="J151" s="125"/>
      <c r="L151" s="125"/>
    </row>
    <row r="152">
      <c r="H152" s="125"/>
      <c r="J152" s="125"/>
      <c r="L152" s="125"/>
    </row>
    <row r="153">
      <c r="H153" s="125"/>
      <c r="J153" s="125"/>
      <c r="L153" s="125"/>
    </row>
    <row r="154">
      <c r="H154" s="125"/>
      <c r="J154" s="125"/>
      <c r="L154" s="125"/>
    </row>
    <row r="155">
      <c r="H155" s="125"/>
      <c r="J155" s="125"/>
      <c r="L155" s="125"/>
    </row>
    <row r="156">
      <c r="H156" s="125"/>
      <c r="J156" s="125"/>
      <c r="L156" s="125"/>
    </row>
    <row r="157">
      <c r="H157" s="125"/>
      <c r="J157" s="125"/>
      <c r="L157" s="125"/>
    </row>
    <row r="158">
      <c r="H158" s="125"/>
      <c r="J158" s="125"/>
      <c r="L158" s="125"/>
    </row>
    <row r="159">
      <c r="H159" s="125"/>
      <c r="J159" s="125"/>
      <c r="L159" s="125"/>
    </row>
    <row r="160">
      <c r="H160" s="125"/>
      <c r="J160" s="125"/>
      <c r="L160" s="125"/>
    </row>
    <row r="161">
      <c r="H161" s="125"/>
      <c r="J161" s="125"/>
      <c r="L161" s="125"/>
    </row>
    <row r="162">
      <c r="H162" s="125"/>
      <c r="J162" s="125"/>
      <c r="L162" s="125"/>
    </row>
    <row r="163">
      <c r="H163" s="125"/>
      <c r="J163" s="125"/>
      <c r="L163" s="125"/>
    </row>
    <row r="164">
      <c r="H164" s="125"/>
      <c r="J164" s="125"/>
      <c r="L164" s="125"/>
    </row>
    <row r="165">
      <c r="H165" s="125"/>
      <c r="J165" s="125"/>
      <c r="L165" s="125"/>
    </row>
    <row r="166">
      <c r="H166" s="125"/>
      <c r="J166" s="125"/>
      <c r="L166" s="125"/>
    </row>
    <row r="167">
      <c r="H167" s="125"/>
      <c r="J167" s="125"/>
      <c r="L167" s="125"/>
    </row>
    <row r="168">
      <c r="H168" s="125"/>
      <c r="J168" s="125"/>
      <c r="L168" s="125"/>
    </row>
    <row r="169">
      <c r="H169" s="125"/>
      <c r="J169" s="125"/>
      <c r="L169" s="125"/>
    </row>
    <row r="170">
      <c r="H170" s="125"/>
      <c r="J170" s="125"/>
      <c r="L170" s="125"/>
    </row>
    <row r="171">
      <c r="H171" s="125"/>
      <c r="J171" s="125"/>
      <c r="L171" s="125"/>
    </row>
    <row r="172">
      <c r="H172" s="125"/>
      <c r="J172" s="125"/>
      <c r="L172" s="125"/>
    </row>
    <row r="173">
      <c r="H173" s="125"/>
      <c r="J173" s="125"/>
      <c r="L173" s="125"/>
    </row>
    <row r="174">
      <c r="H174" s="125"/>
      <c r="J174" s="125"/>
      <c r="L174" s="125"/>
    </row>
    <row r="175">
      <c r="H175" s="125"/>
      <c r="J175" s="125"/>
      <c r="L175" s="125"/>
    </row>
    <row r="176">
      <c r="H176" s="125"/>
      <c r="J176" s="125"/>
      <c r="L176" s="125"/>
    </row>
    <row r="177">
      <c r="H177" s="125"/>
      <c r="J177" s="125"/>
      <c r="L177" s="125"/>
    </row>
    <row r="178">
      <c r="H178" s="125"/>
      <c r="J178" s="125"/>
      <c r="L178" s="125"/>
    </row>
    <row r="179">
      <c r="H179" s="125"/>
      <c r="J179" s="125"/>
      <c r="L179" s="125"/>
    </row>
    <row r="180">
      <c r="H180" s="125"/>
      <c r="J180" s="125"/>
      <c r="L180" s="125"/>
    </row>
    <row r="181">
      <c r="H181" s="125"/>
      <c r="J181" s="125"/>
      <c r="L181" s="125"/>
    </row>
    <row r="182">
      <c r="H182" s="125"/>
      <c r="J182" s="125"/>
      <c r="L182" s="125"/>
    </row>
    <row r="183">
      <c r="H183" s="125"/>
      <c r="J183" s="125"/>
      <c r="L183" s="125"/>
    </row>
    <row r="184">
      <c r="H184" s="125"/>
      <c r="J184" s="125"/>
      <c r="L184" s="125"/>
    </row>
    <row r="185">
      <c r="H185" s="125"/>
      <c r="J185" s="125"/>
      <c r="L185" s="125"/>
    </row>
    <row r="186">
      <c r="H186" s="125"/>
      <c r="J186" s="125"/>
      <c r="L186" s="125"/>
    </row>
    <row r="187">
      <c r="H187" s="125"/>
      <c r="J187" s="125"/>
      <c r="L187" s="125"/>
    </row>
    <row r="188">
      <c r="H188" s="125"/>
      <c r="J188" s="125"/>
      <c r="L188" s="125"/>
    </row>
    <row r="189">
      <c r="H189" s="125"/>
      <c r="J189" s="125"/>
      <c r="L189" s="125"/>
    </row>
    <row r="190">
      <c r="H190" s="125"/>
      <c r="J190" s="125"/>
      <c r="L190" s="125"/>
    </row>
    <row r="191">
      <c r="H191" s="125"/>
      <c r="J191" s="125"/>
      <c r="L191" s="125"/>
    </row>
    <row r="192">
      <c r="H192" s="125"/>
      <c r="J192" s="125"/>
      <c r="L192" s="125"/>
    </row>
    <row r="193">
      <c r="H193" s="125"/>
      <c r="J193" s="125"/>
      <c r="L193" s="125"/>
    </row>
    <row r="194">
      <c r="H194" s="125"/>
      <c r="J194" s="125"/>
      <c r="L194" s="125"/>
    </row>
    <row r="195">
      <c r="H195" s="125"/>
      <c r="J195" s="125"/>
      <c r="L195" s="125"/>
    </row>
    <row r="196">
      <c r="H196" s="125"/>
      <c r="J196" s="125"/>
      <c r="L196" s="125"/>
    </row>
    <row r="197">
      <c r="H197" s="125"/>
      <c r="J197" s="125"/>
      <c r="L197" s="125"/>
    </row>
    <row r="198">
      <c r="H198" s="125"/>
      <c r="J198" s="125"/>
      <c r="L198" s="125"/>
    </row>
    <row r="199">
      <c r="H199" s="125"/>
      <c r="J199" s="125"/>
      <c r="L199" s="125"/>
    </row>
    <row r="200">
      <c r="H200" s="125"/>
      <c r="J200" s="125"/>
      <c r="L200" s="125"/>
    </row>
    <row r="201">
      <c r="H201" s="125"/>
      <c r="J201" s="125"/>
      <c r="L201" s="125"/>
    </row>
    <row r="202">
      <c r="H202" s="125"/>
      <c r="J202" s="125"/>
      <c r="L202" s="125"/>
    </row>
    <row r="203">
      <c r="H203" s="125"/>
      <c r="J203" s="125"/>
      <c r="L203" s="125"/>
    </row>
    <row r="204">
      <c r="H204" s="125"/>
      <c r="J204" s="125"/>
      <c r="L204" s="125"/>
    </row>
    <row r="205">
      <c r="H205" s="125"/>
      <c r="J205" s="125"/>
      <c r="L205" s="125"/>
    </row>
    <row r="206">
      <c r="H206" s="125"/>
      <c r="J206" s="125"/>
      <c r="L206" s="125"/>
    </row>
    <row r="207">
      <c r="H207" s="125"/>
      <c r="J207" s="125"/>
      <c r="L207" s="125"/>
    </row>
    <row r="208">
      <c r="H208" s="125"/>
      <c r="J208" s="125"/>
      <c r="L208" s="125"/>
    </row>
    <row r="209">
      <c r="H209" s="125"/>
      <c r="J209" s="125"/>
      <c r="L209" s="125"/>
    </row>
    <row r="210">
      <c r="H210" s="125"/>
      <c r="J210" s="125"/>
      <c r="L210" s="125"/>
    </row>
    <row r="211">
      <c r="H211" s="125"/>
      <c r="J211" s="125"/>
      <c r="L211" s="125"/>
    </row>
    <row r="212">
      <c r="H212" s="125"/>
      <c r="J212" s="125"/>
      <c r="L212" s="125"/>
    </row>
    <row r="213">
      <c r="H213" s="125"/>
      <c r="J213" s="125"/>
      <c r="L213" s="125"/>
    </row>
    <row r="214">
      <c r="H214" s="125"/>
      <c r="J214" s="125"/>
      <c r="L214" s="125"/>
    </row>
    <row r="215">
      <c r="H215" s="125"/>
      <c r="J215" s="125"/>
      <c r="L215" s="125"/>
    </row>
    <row r="216">
      <c r="H216" s="125"/>
      <c r="J216" s="125"/>
      <c r="L216" s="125"/>
    </row>
    <row r="217">
      <c r="H217" s="125"/>
      <c r="J217" s="125"/>
      <c r="L217" s="125"/>
    </row>
    <row r="218">
      <c r="H218" s="125"/>
      <c r="J218" s="125"/>
      <c r="L218" s="125"/>
    </row>
    <row r="219">
      <c r="H219" s="125"/>
      <c r="J219" s="125"/>
      <c r="L219" s="125"/>
    </row>
    <row r="220">
      <c r="H220" s="125"/>
      <c r="J220" s="125"/>
      <c r="L220" s="125"/>
    </row>
    <row r="221">
      <c r="H221" s="125"/>
      <c r="J221" s="125"/>
      <c r="L221" s="125"/>
    </row>
    <row r="222">
      <c r="H222" s="125"/>
      <c r="J222" s="125"/>
      <c r="L222" s="125"/>
    </row>
    <row r="223">
      <c r="H223" s="125"/>
      <c r="J223" s="125"/>
      <c r="L223" s="125"/>
    </row>
    <row r="224">
      <c r="H224" s="125"/>
      <c r="J224" s="125"/>
      <c r="L224" s="125"/>
    </row>
    <row r="225">
      <c r="H225" s="125"/>
      <c r="J225" s="125"/>
      <c r="L225" s="125"/>
    </row>
    <row r="226">
      <c r="H226" s="125"/>
      <c r="J226" s="125"/>
      <c r="L226" s="125"/>
    </row>
    <row r="227">
      <c r="H227" s="125"/>
      <c r="J227" s="125"/>
      <c r="L227" s="125"/>
    </row>
    <row r="228">
      <c r="H228" s="125"/>
      <c r="J228" s="125"/>
      <c r="L228" s="125"/>
    </row>
    <row r="229">
      <c r="H229" s="125"/>
      <c r="J229" s="125"/>
      <c r="L229" s="125"/>
    </row>
    <row r="230">
      <c r="H230" s="125"/>
      <c r="J230" s="125"/>
      <c r="L230" s="125"/>
    </row>
    <row r="231">
      <c r="H231" s="125"/>
      <c r="J231" s="125"/>
      <c r="L231" s="125"/>
    </row>
    <row r="232">
      <c r="H232" s="125"/>
      <c r="J232" s="125"/>
      <c r="L232" s="125"/>
    </row>
    <row r="233">
      <c r="H233" s="125"/>
      <c r="J233" s="125"/>
      <c r="L233" s="125"/>
    </row>
    <row r="234">
      <c r="H234" s="125"/>
      <c r="J234" s="125"/>
      <c r="L234" s="125"/>
    </row>
    <row r="235">
      <c r="H235" s="125"/>
      <c r="J235" s="125"/>
      <c r="L235" s="125"/>
    </row>
    <row r="236">
      <c r="H236" s="125"/>
      <c r="J236" s="125"/>
      <c r="L236" s="125"/>
    </row>
    <row r="237">
      <c r="H237" s="125"/>
      <c r="J237" s="125"/>
      <c r="L237" s="125"/>
    </row>
    <row r="238">
      <c r="H238" s="125"/>
      <c r="J238" s="125"/>
      <c r="L238" s="125"/>
    </row>
    <row r="239">
      <c r="H239" s="125"/>
      <c r="J239" s="125"/>
      <c r="L239" s="125"/>
    </row>
    <row r="240">
      <c r="H240" s="125"/>
      <c r="J240" s="125"/>
      <c r="L240" s="125"/>
    </row>
    <row r="241">
      <c r="H241" s="125"/>
      <c r="J241" s="125"/>
      <c r="L241" s="125"/>
    </row>
    <row r="242">
      <c r="H242" s="125"/>
      <c r="J242" s="125"/>
      <c r="L242" s="125"/>
    </row>
    <row r="243">
      <c r="H243" s="125"/>
      <c r="J243" s="125"/>
      <c r="L243" s="125"/>
    </row>
    <row r="244">
      <c r="H244" s="125"/>
      <c r="J244" s="125"/>
      <c r="L244" s="125"/>
    </row>
    <row r="245">
      <c r="H245" s="125"/>
      <c r="J245" s="125"/>
      <c r="L245" s="125"/>
    </row>
    <row r="246">
      <c r="H246" s="125"/>
      <c r="J246" s="125"/>
      <c r="L246" s="125"/>
    </row>
    <row r="247">
      <c r="H247" s="125"/>
      <c r="J247" s="125"/>
      <c r="L247" s="125"/>
    </row>
    <row r="248">
      <c r="H248" s="125"/>
      <c r="J248" s="125"/>
      <c r="L248" s="125"/>
    </row>
    <row r="249">
      <c r="H249" s="125"/>
      <c r="J249" s="125"/>
      <c r="L249" s="125"/>
    </row>
    <row r="250">
      <c r="H250" s="125"/>
      <c r="J250" s="125"/>
      <c r="L250" s="125"/>
    </row>
    <row r="251">
      <c r="H251" s="125"/>
      <c r="J251" s="125"/>
      <c r="L251" s="125"/>
    </row>
    <row r="252">
      <c r="H252" s="125"/>
      <c r="J252" s="125"/>
      <c r="L252" s="125"/>
    </row>
    <row r="253">
      <c r="H253" s="125"/>
      <c r="J253" s="125"/>
      <c r="L253" s="125"/>
    </row>
    <row r="254">
      <c r="H254" s="125"/>
      <c r="J254" s="125"/>
      <c r="L254" s="125"/>
    </row>
    <row r="255">
      <c r="H255" s="125"/>
      <c r="J255" s="125"/>
      <c r="L255" s="125"/>
    </row>
    <row r="256">
      <c r="H256" s="125"/>
      <c r="J256" s="125"/>
      <c r="L256" s="125"/>
    </row>
    <row r="257">
      <c r="H257" s="125"/>
      <c r="J257" s="125"/>
      <c r="L257" s="125"/>
    </row>
    <row r="258">
      <c r="H258" s="125"/>
      <c r="J258" s="125"/>
      <c r="L258" s="125"/>
    </row>
    <row r="259">
      <c r="H259" s="125"/>
      <c r="J259" s="125"/>
      <c r="L259" s="125"/>
    </row>
    <row r="260">
      <c r="H260" s="125"/>
      <c r="J260" s="125"/>
      <c r="L260" s="125"/>
    </row>
    <row r="261">
      <c r="H261" s="125"/>
      <c r="J261" s="125"/>
      <c r="L261" s="125"/>
    </row>
    <row r="262">
      <c r="H262" s="125"/>
      <c r="J262" s="125"/>
      <c r="L262" s="125"/>
    </row>
    <row r="263">
      <c r="H263" s="125"/>
      <c r="J263" s="125"/>
      <c r="L263" s="125"/>
    </row>
    <row r="264">
      <c r="H264" s="125"/>
      <c r="J264" s="125"/>
      <c r="L264" s="125"/>
    </row>
    <row r="265">
      <c r="H265" s="125"/>
      <c r="J265" s="125"/>
      <c r="L265" s="125"/>
    </row>
    <row r="266">
      <c r="H266" s="125"/>
      <c r="J266" s="125"/>
      <c r="L266" s="125"/>
    </row>
    <row r="267">
      <c r="H267" s="125"/>
      <c r="J267" s="125"/>
      <c r="L267" s="125"/>
    </row>
    <row r="268">
      <c r="H268" s="125"/>
      <c r="J268" s="125"/>
      <c r="L268" s="125"/>
    </row>
    <row r="269">
      <c r="H269" s="125"/>
      <c r="J269" s="125"/>
      <c r="L269" s="125"/>
    </row>
    <row r="270">
      <c r="H270" s="125"/>
      <c r="J270" s="125"/>
      <c r="L270" s="125"/>
    </row>
    <row r="271">
      <c r="H271" s="125"/>
      <c r="J271" s="125"/>
      <c r="L271" s="125"/>
    </row>
    <row r="272">
      <c r="H272" s="125"/>
      <c r="J272" s="125"/>
      <c r="L272" s="125"/>
    </row>
    <row r="273">
      <c r="H273" s="125"/>
      <c r="J273" s="125"/>
      <c r="L273" s="125"/>
    </row>
    <row r="274">
      <c r="H274" s="125"/>
      <c r="J274" s="125"/>
      <c r="L274" s="125"/>
    </row>
    <row r="275">
      <c r="H275" s="125"/>
      <c r="J275" s="125"/>
      <c r="L275" s="125"/>
    </row>
    <row r="276">
      <c r="H276" s="125"/>
      <c r="J276" s="125"/>
      <c r="L276" s="125"/>
    </row>
    <row r="277">
      <c r="H277" s="125"/>
      <c r="J277" s="125"/>
      <c r="L277" s="125"/>
    </row>
    <row r="278">
      <c r="H278" s="125"/>
      <c r="J278" s="125"/>
      <c r="L278" s="125"/>
    </row>
    <row r="279">
      <c r="H279" s="125"/>
      <c r="J279" s="125"/>
      <c r="L279" s="125"/>
    </row>
    <row r="280">
      <c r="H280" s="125"/>
      <c r="J280" s="125"/>
      <c r="L280" s="125"/>
    </row>
    <row r="281">
      <c r="H281" s="125"/>
      <c r="J281" s="125"/>
      <c r="L281" s="125"/>
    </row>
    <row r="282">
      <c r="H282" s="125"/>
      <c r="J282" s="125"/>
      <c r="L282" s="125"/>
    </row>
    <row r="283">
      <c r="H283" s="125"/>
      <c r="J283" s="125"/>
      <c r="L283" s="125"/>
    </row>
    <row r="284">
      <c r="H284" s="125"/>
      <c r="J284" s="125"/>
      <c r="L284" s="125"/>
    </row>
    <row r="285">
      <c r="H285" s="125"/>
      <c r="J285" s="125"/>
      <c r="L285" s="125"/>
    </row>
    <row r="286">
      <c r="H286" s="125"/>
      <c r="J286" s="125"/>
      <c r="L286" s="125"/>
    </row>
    <row r="287">
      <c r="H287" s="125"/>
      <c r="J287" s="125"/>
      <c r="L287" s="125"/>
    </row>
    <row r="288">
      <c r="H288" s="125"/>
      <c r="J288" s="125"/>
      <c r="L288" s="125"/>
    </row>
    <row r="289">
      <c r="H289" s="125"/>
      <c r="J289" s="125"/>
      <c r="L289" s="125"/>
    </row>
    <row r="290">
      <c r="H290" s="125"/>
      <c r="J290" s="125"/>
      <c r="L290" s="125"/>
    </row>
    <row r="291">
      <c r="H291" s="125"/>
      <c r="J291" s="125"/>
      <c r="L291" s="125"/>
    </row>
    <row r="292">
      <c r="H292" s="125"/>
      <c r="J292" s="125"/>
      <c r="L292" s="125"/>
    </row>
    <row r="293">
      <c r="H293" s="125"/>
      <c r="J293" s="125"/>
      <c r="L293" s="125"/>
    </row>
    <row r="294">
      <c r="H294" s="125"/>
      <c r="J294" s="125"/>
      <c r="L294" s="125"/>
    </row>
    <row r="295">
      <c r="H295" s="125"/>
      <c r="J295" s="125"/>
      <c r="L295" s="125"/>
    </row>
    <row r="296">
      <c r="H296" s="125"/>
      <c r="J296" s="125"/>
      <c r="L296" s="125"/>
    </row>
    <row r="297">
      <c r="H297" s="125"/>
      <c r="J297" s="125"/>
      <c r="L297" s="125"/>
    </row>
    <row r="298">
      <c r="H298" s="125"/>
      <c r="J298" s="125"/>
      <c r="L298" s="125"/>
    </row>
    <row r="299">
      <c r="H299" s="125"/>
      <c r="J299" s="125"/>
      <c r="L299" s="125"/>
    </row>
    <row r="300">
      <c r="H300" s="125"/>
      <c r="J300" s="125"/>
      <c r="L300" s="125"/>
    </row>
    <row r="301">
      <c r="H301" s="125"/>
      <c r="J301" s="125"/>
      <c r="L301" s="125"/>
    </row>
    <row r="302">
      <c r="H302" s="125"/>
      <c r="J302" s="125"/>
      <c r="L302" s="125"/>
    </row>
    <row r="303">
      <c r="H303" s="125"/>
      <c r="J303" s="125"/>
      <c r="L303" s="125"/>
    </row>
    <row r="304">
      <c r="H304" s="125"/>
      <c r="J304" s="125"/>
      <c r="L304" s="125"/>
    </row>
    <row r="305">
      <c r="H305" s="125"/>
      <c r="J305" s="125"/>
      <c r="L305" s="125"/>
    </row>
    <row r="306">
      <c r="H306" s="125"/>
      <c r="J306" s="125"/>
      <c r="L306" s="125"/>
    </row>
    <row r="307">
      <c r="H307" s="125"/>
      <c r="J307" s="125"/>
      <c r="L307" s="125"/>
    </row>
    <row r="308">
      <c r="H308" s="125"/>
      <c r="J308" s="125"/>
      <c r="L308" s="125"/>
    </row>
    <row r="309">
      <c r="H309" s="125"/>
      <c r="J309" s="125"/>
      <c r="L309" s="125"/>
    </row>
    <row r="310">
      <c r="H310" s="125"/>
      <c r="J310" s="125"/>
      <c r="L310" s="125"/>
    </row>
    <row r="311">
      <c r="H311" s="125"/>
      <c r="J311" s="125"/>
      <c r="L311" s="125"/>
    </row>
    <row r="312">
      <c r="H312" s="125"/>
      <c r="J312" s="125"/>
      <c r="L312" s="125"/>
    </row>
    <row r="313">
      <c r="H313" s="125"/>
      <c r="J313" s="125"/>
      <c r="L313" s="125"/>
    </row>
    <row r="314">
      <c r="H314" s="125"/>
      <c r="J314" s="125"/>
      <c r="L314" s="125"/>
    </row>
    <row r="315">
      <c r="H315" s="125"/>
      <c r="J315" s="125"/>
      <c r="L315" s="125"/>
    </row>
    <row r="316">
      <c r="H316" s="125"/>
      <c r="J316" s="125"/>
      <c r="L316" s="125"/>
    </row>
    <row r="317">
      <c r="H317" s="125"/>
      <c r="J317" s="125"/>
      <c r="L317" s="125"/>
    </row>
    <row r="318">
      <c r="H318" s="125"/>
      <c r="J318" s="125"/>
      <c r="L318" s="125"/>
    </row>
    <row r="319">
      <c r="H319" s="125"/>
      <c r="J319" s="125"/>
      <c r="L319" s="125"/>
    </row>
    <row r="320">
      <c r="H320" s="125"/>
      <c r="J320" s="125"/>
      <c r="L320" s="125"/>
    </row>
    <row r="321">
      <c r="H321" s="125"/>
      <c r="J321" s="125"/>
      <c r="L321" s="125"/>
    </row>
    <row r="322">
      <c r="H322" s="125"/>
      <c r="J322" s="125"/>
      <c r="L322" s="125"/>
    </row>
    <row r="323">
      <c r="H323" s="125"/>
      <c r="J323" s="125"/>
      <c r="L323" s="125"/>
    </row>
    <row r="324">
      <c r="H324" s="125"/>
      <c r="J324" s="125"/>
      <c r="L324" s="125"/>
    </row>
    <row r="325">
      <c r="H325" s="125"/>
      <c r="J325" s="125"/>
      <c r="L325" s="125"/>
    </row>
    <row r="326">
      <c r="H326" s="125"/>
      <c r="J326" s="125"/>
      <c r="L326" s="125"/>
    </row>
    <row r="327">
      <c r="H327" s="125"/>
      <c r="J327" s="125"/>
      <c r="L327" s="125"/>
    </row>
    <row r="328">
      <c r="H328" s="125"/>
      <c r="J328" s="125"/>
      <c r="L328" s="125"/>
    </row>
    <row r="329">
      <c r="H329" s="125"/>
      <c r="J329" s="125"/>
      <c r="L329" s="125"/>
    </row>
    <row r="330">
      <c r="H330" s="125"/>
      <c r="J330" s="125"/>
      <c r="L330" s="125"/>
    </row>
    <row r="331">
      <c r="H331" s="125"/>
      <c r="J331" s="125"/>
      <c r="L331" s="125"/>
    </row>
    <row r="332">
      <c r="H332" s="125"/>
      <c r="J332" s="125"/>
      <c r="L332" s="125"/>
    </row>
    <row r="333">
      <c r="H333" s="125"/>
      <c r="J333" s="125"/>
      <c r="L333" s="125"/>
    </row>
    <row r="334">
      <c r="H334" s="125"/>
      <c r="J334" s="125"/>
      <c r="L334" s="125"/>
    </row>
    <row r="335">
      <c r="H335" s="125"/>
      <c r="J335" s="125"/>
      <c r="L335" s="125"/>
    </row>
    <row r="336">
      <c r="H336" s="125"/>
      <c r="J336" s="125"/>
      <c r="L336" s="125"/>
    </row>
    <row r="337">
      <c r="H337" s="125"/>
      <c r="J337" s="125"/>
      <c r="L337" s="125"/>
    </row>
    <row r="338">
      <c r="H338" s="125"/>
      <c r="J338" s="125"/>
      <c r="L338" s="125"/>
    </row>
    <row r="339">
      <c r="H339" s="125"/>
      <c r="J339" s="125"/>
      <c r="L339" s="125"/>
    </row>
    <row r="340">
      <c r="H340" s="125"/>
      <c r="J340" s="125"/>
      <c r="L340" s="125"/>
    </row>
    <row r="341">
      <c r="H341" s="125"/>
      <c r="J341" s="125"/>
      <c r="L341" s="125"/>
    </row>
    <row r="342">
      <c r="H342" s="125"/>
      <c r="J342" s="125"/>
      <c r="L342" s="125"/>
    </row>
    <row r="343">
      <c r="H343" s="125"/>
      <c r="J343" s="125"/>
      <c r="L343" s="125"/>
    </row>
    <row r="344">
      <c r="H344" s="125"/>
      <c r="J344" s="125"/>
      <c r="L344" s="125"/>
    </row>
    <row r="345">
      <c r="H345" s="125"/>
      <c r="J345" s="125"/>
      <c r="L345" s="125"/>
    </row>
    <row r="346">
      <c r="H346" s="125"/>
      <c r="J346" s="125"/>
      <c r="L346" s="125"/>
    </row>
    <row r="347">
      <c r="H347" s="125"/>
      <c r="J347" s="125"/>
      <c r="L347" s="125"/>
    </row>
    <row r="348">
      <c r="H348" s="125"/>
      <c r="J348" s="125"/>
      <c r="L348" s="125"/>
    </row>
    <row r="349">
      <c r="H349" s="125"/>
      <c r="J349" s="125"/>
      <c r="L349" s="125"/>
    </row>
    <row r="350">
      <c r="H350" s="125"/>
      <c r="J350" s="125"/>
      <c r="L350" s="125"/>
    </row>
    <row r="351">
      <c r="H351" s="125"/>
      <c r="J351" s="125"/>
      <c r="L351" s="125"/>
    </row>
    <row r="352">
      <c r="H352" s="125"/>
      <c r="J352" s="125"/>
      <c r="L352" s="125"/>
    </row>
    <row r="353">
      <c r="H353" s="125"/>
      <c r="J353" s="125"/>
      <c r="L353" s="125"/>
    </row>
    <row r="354">
      <c r="H354" s="125"/>
      <c r="J354" s="125"/>
      <c r="L354" s="125"/>
    </row>
    <row r="355">
      <c r="H355" s="125"/>
      <c r="J355" s="125"/>
      <c r="L355" s="125"/>
    </row>
    <row r="356">
      <c r="H356" s="125"/>
      <c r="J356" s="125"/>
      <c r="L356" s="125"/>
    </row>
    <row r="357">
      <c r="H357" s="125"/>
      <c r="J357" s="125"/>
      <c r="L357" s="125"/>
    </row>
    <row r="358">
      <c r="H358" s="125"/>
      <c r="J358" s="125"/>
      <c r="L358" s="125"/>
    </row>
    <row r="359">
      <c r="H359" s="125"/>
      <c r="J359" s="125"/>
      <c r="L359" s="125"/>
    </row>
    <row r="360">
      <c r="H360" s="125"/>
      <c r="J360" s="125"/>
      <c r="L360" s="125"/>
    </row>
    <row r="361">
      <c r="H361" s="125"/>
      <c r="J361" s="125"/>
      <c r="L361" s="125"/>
    </row>
    <row r="362">
      <c r="H362" s="125"/>
      <c r="J362" s="125"/>
      <c r="L362" s="125"/>
    </row>
    <row r="363">
      <c r="H363" s="125"/>
      <c r="J363" s="125"/>
      <c r="L363" s="125"/>
    </row>
    <row r="364">
      <c r="H364" s="125"/>
      <c r="J364" s="125"/>
      <c r="L364" s="125"/>
    </row>
    <row r="365">
      <c r="H365" s="125"/>
      <c r="J365" s="125"/>
      <c r="L365" s="125"/>
    </row>
    <row r="366">
      <c r="H366" s="125"/>
      <c r="J366" s="125"/>
      <c r="L366" s="125"/>
    </row>
    <row r="367">
      <c r="H367" s="125"/>
      <c r="J367" s="125"/>
      <c r="L367" s="125"/>
    </row>
    <row r="368">
      <c r="H368" s="125"/>
      <c r="J368" s="125"/>
      <c r="L368" s="125"/>
    </row>
    <row r="369">
      <c r="H369" s="125"/>
      <c r="J369" s="125"/>
      <c r="L369" s="125"/>
    </row>
    <row r="370">
      <c r="H370" s="125"/>
      <c r="J370" s="125"/>
      <c r="L370" s="125"/>
    </row>
    <row r="371">
      <c r="H371" s="125"/>
      <c r="J371" s="125"/>
      <c r="L371" s="125"/>
    </row>
    <row r="372">
      <c r="H372" s="125"/>
      <c r="J372" s="125"/>
      <c r="L372" s="125"/>
    </row>
    <row r="373">
      <c r="H373" s="125"/>
      <c r="J373" s="125"/>
      <c r="L373" s="125"/>
    </row>
    <row r="374">
      <c r="H374" s="125"/>
      <c r="J374" s="125"/>
      <c r="L374" s="125"/>
    </row>
    <row r="375">
      <c r="H375" s="125"/>
      <c r="J375" s="125"/>
      <c r="L375" s="125"/>
    </row>
    <row r="376">
      <c r="H376" s="125"/>
      <c r="J376" s="125"/>
      <c r="L376" s="125"/>
    </row>
    <row r="377">
      <c r="H377" s="125"/>
      <c r="J377" s="125"/>
      <c r="L377" s="125"/>
    </row>
    <row r="378">
      <c r="H378" s="125"/>
      <c r="J378" s="125"/>
      <c r="L378" s="125"/>
    </row>
    <row r="379">
      <c r="H379" s="125"/>
      <c r="J379" s="125"/>
      <c r="L379" s="125"/>
    </row>
    <row r="380">
      <c r="H380" s="125"/>
      <c r="J380" s="125"/>
      <c r="L380" s="125"/>
    </row>
    <row r="381">
      <c r="H381" s="125"/>
      <c r="J381" s="125"/>
      <c r="L381" s="125"/>
    </row>
    <row r="382">
      <c r="H382" s="125"/>
      <c r="J382" s="125"/>
      <c r="L382" s="125"/>
    </row>
    <row r="383">
      <c r="H383" s="125"/>
      <c r="J383" s="125"/>
      <c r="L383" s="125"/>
    </row>
    <row r="384">
      <c r="H384" s="125"/>
      <c r="J384" s="125"/>
      <c r="L384" s="125"/>
    </row>
    <row r="385">
      <c r="H385" s="125"/>
      <c r="J385" s="125"/>
      <c r="L385" s="125"/>
    </row>
    <row r="386">
      <c r="H386" s="125"/>
      <c r="J386" s="125"/>
      <c r="L386" s="125"/>
    </row>
    <row r="387">
      <c r="H387" s="125"/>
      <c r="J387" s="125"/>
      <c r="L387" s="125"/>
    </row>
    <row r="388">
      <c r="H388" s="125"/>
      <c r="J388" s="125"/>
      <c r="L388" s="125"/>
    </row>
    <row r="389">
      <c r="H389" s="125"/>
      <c r="J389" s="125"/>
      <c r="L389" s="125"/>
    </row>
    <row r="390">
      <c r="H390" s="125"/>
      <c r="J390" s="125"/>
      <c r="L390" s="125"/>
    </row>
    <row r="391">
      <c r="H391" s="125"/>
      <c r="J391" s="125"/>
      <c r="L391" s="125"/>
    </row>
    <row r="392">
      <c r="H392" s="125"/>
      <c r="J392" s="125"/>
      <c r="L392" s="125"/>
    </row>
    <row r="393">
      <c r="H393" s="125"/>
      <c r="J393" s="125"/>
      <c r="L393" s="125"/>
    </row>
    <row r="394">
      <c r="H394" s="125"/>
      <c r="J394" s="125"/>
      <c r="L394" s="125"/>
    </row>
    <row r="395">
      <c r="H395" s="125"/>
      <c r="J395" s="125"/>
      <c r="L395" s="125"/>
    </row>
    <row r="396">
      <c r="H396" s="125"/>
      <c r="J396" s="125"/>
      <c r="L396" s="125"/>
    </row>
    <row r="397">
      <c r="H397" s="125"/>
      <c r="J397" s="125"/>
      <c r="L397" s="125"/>
    </row>
    <row r="398">
      <c r="H398" s="125"/>
      <c r="J398" s="125"/>
      <c r="L398" s="125"/>
    </row>
    <row r="399">
      <c r="H399" s="125"/>
      <c r="J399" s="125"/>
      <c r="L399" s="125"/>
    </row>
    <row r="400">
      <c r="H400" s="125"/>
      <c r="J400" s="125"/>
      <c r="L400" s="125"/>
    </row>
    <row r="401">
      <c r="H401" s="125"/>
      <c r="J401" s="125"/>
      <c r="L401" s="125"/>
    </row>
    <row r="402">
      <c r="H402" s="125"/>
      <c r="J402" s="125"/>
      <c r="L402" s="125"/>
    </row>
    <row r="403">
      <c r="H403" s="125"/>
      <c r="J403" s="125"/>
      <c r="L403" s="125"/>
    </row>
    <row r="404">
      <c r="H404" s="125"/>
      <c r="J404" s="125"/>
      <c r="L404" s="125"/>
    </row>
    <row r="405">
      <c r="H405" s="125"/>
      <c r="J405" s="125"/>
      <c r="L405" s="125"/>
    </row>
    <row r="406">
      <c r="H406" s="125"/>
      <c r="J406" s="125"/>
      <c r="L406" s="125"/>
    </row>
    <row r="407">
      <c r="H407" s="125"/>
      <c r="J407" s="125"/>
      <c r="L407" s="125"/>
    </row>
    <row r="408">
      <c r="H408" s="125"/>
      <c r="J408" s="125"/>
      <c r="L408" s="125"/>
    </row>
    <row r="409">
      <c r="H409" s="125"/>
      <c r="J409" s="125"/>
      <c r="L409" s="125"/>
    </row>
    <row r="410">
      <c r="H410" s="125"/>
      <c r="J410" s="125"/>
      <c r="L410" s="125"/>
    </row>
    <row r="411">
      <c r="H411" s="125"/>
      <c r="J411" s="125"/>
      <c r="L411" s="125"/>
    </row>
    <row r="412">
      <c r="H412" s="125"/>
      <c r="J412" s="125"/>
      <c r="L412" s="125"/>
    </row>
    <row r="413">
      <c r="H413" s="125"/>
      <c r="J413" s="125"/>
      <c r="L413" s="125"/>
    </row>
    <row r="414">
      <c r="H414" s="125"/>
      <c r="J414" s="125"/>
      <c r="L414" s="125"/>
    </row>
    <row r="415">
      <c r="H415" s="125"/>
      <c r="J415" s="125"/>
      <c r="L415" s="125"/>
    </row>
    <row r="416">
      <c r="H416" s="125"/>
      <c r="J416" s="125"/>
      <c r="L416" s="125"/>
    </row>
    <row r="417">
      <c r="H417" s="125"/>
      <c r="J417" s="125"/>
      <c r="L417" s="125"/>
    </row>
    <row r="418">
      <c r="H418" s="125"/>
      <c r="J418" s="125"/>
      <c r="L418" s="125"/>
    </row>
    <row r="419">
      <c r="H419" s="125"/>
      <c r="J419" s="125"/>
      <c r="L419" s="125"/>
    </row>
    <row r="420">
      <c r="H420" s="125"/>
      <c r="J420" s="125"/>
      <c r="L420" s="125"/>
    </row>
    <row r="421">
      <c r="H421" s="125"/>
      <c r="J421" s="125"/>
      <c r="L421" s="125"/>
    </row>
    <row r="422">
      <c r="H422" s="125"/>
      <c r="J422" s="125"/>
      <c r="L422" s="125"/>
    </row>
    <row r="423">
      <c r="H423" s="125"/>
      <c r="J423" s="125"/>
      <c r="L423" s="125"/>
    </row>
    <row r="424">
      <c r="H424" s="125"/>
      <c r="J424" s="125"/>
      <c r="L424" s="125"/>
    </row>
    <row r="425">
      <c r="H425" s="125"/>
      <c r="J425" s="125"/>
      <c r="L425" s="125"/>
    </row>
    <row r="426">
      <c r="H426" s="125"/>
      <c r="J426" s="125"/>
      <c r="L426" s="125"/>
    </row>
    <row r="427">
      <c r="H427" s="125"/>
      <c r="J427" s="125"/>
      <c r="L427" s="125"/>
    </row>
    <row r="428">
      <c r="H428" s="125"/>
      <c r="J428" s="125"/>
      <c r="L428" s="125"/>
    </row>
    <row r="429">
      <c r="H429" s="125"/>
      <c r="J429" s="125"/>
      <c r="L429" s="125"/>
    </row>
    <row r="430">
      <c r="H430" s="125"/>
      <c r="J430" s="125"/>
      <c r="L430" s="125"/>
    </row>
    <row r="431">
      <c r="H431" s="125"/>
      <c r="J431" s="125"/>
      <c r="L431" s="125"/>
    </row>
    <row r="432">
      <c r="H432" s="125"/>
      <c r="J432" s="125"/>
      <c r="L432" s="125"/>
    </row>
    <row r="433">
      <c r="H433" s="125"/>
      <c r="J433" s="125"/>
      <c r="L433" s="125"/>
    </row>
    <row r="434">
      <c r="H434" s="125"/>
      <c r="J434" s="125"/>
      <c r="L434" s="125"/>
    </row>
    <row r="435">
      <c r="H435" s="125"/>
      <c r="J435" s="125"/>
      <c r="L435" s="125"/>
    </row>
    <row r="436">
      <c r="H436" s="125"/>
      <c r="J436" s="125"/>
      <c r="L436" s="125"/>
    </row>
    <row r="437">
      <c r="H437" s="125"/>
      <c r="J437" s="125"/>
      <c r="L437" s="125"/>
    </row>
    <row r="438">
      <c r="H438" s="125"/>
      <c r="J438" s="125"/>
      <c r="L438" s="125"/>
    </row>
    <row r="439">
      <c r="H439" s="125"/>
      <c r="J439" s="125"/>
      <c r="L439" s="125"/>
    </row>
    <row r="440">
      <c r="H440" s="125"/>
      <c r="J440" s="125"/>
      <c r="L440" s="125"/>
    </row>
    <row r="441">
      <c r="H441" s="125"/>
      <c r="J441" s="125"/>
      <c r="L441" s="125"/>
    </row>
    <row r="442">
      <c r="H442" s="125"/>
      <c r="J442" s="125"/>
      <c r="L442" s="125"/>
    </row>
    <row r="443">
      <c r="H443" s="125"/>
      <c r="J443" s="125"/>
      <c r="L443" s="125"/>
    </row>
    <row r="444">
      <c r="H444" s="125"/>
      <c r="J444" s="125"/>
      <c r="L444" s="125"/>
    </row>
    <row r="445">
      <c r="H445" s="125"/>
      <c r="J445" s="125"/>
      <c r="L445" s="125"/>
    </row>
    <row r="446">
      <c r="H446" s="125"/>
      <c r="J446" s="125"/>
      <c r="L446" s="125"/>
    </row>
    <row r="447">
      <c r="H447" s="125"/>
      <c r="J447" s="125"/>
      <c r="L447" s="125"/>
    </row>
    <row r="448">
      <c r="H448" s="125"/>
      <c r="J448" s="125"/>
      <c r="L448" s="125"/>
    </row>
    <row r="449">
      <c r="H449" s="125"/>
      <c r="J449" s="125"/>
      <c r="L449" s="125"/>
    </row>
    <row r="450">
      <c r="H450" s="125"/>
      <c r="J450" s="125"/>
      <c r="L450" s="125"/>
    </row>
    <row r="451">
      <c r="H451" s="125"/>
      <c r="J451" s="125"/>
      <c r="L451" s="125"/>
    </row>
    <row r="452">
      <c r="H452" s="125"/>
      <c r="J452" s="125"/>
      <c r="L452" s="125"/>
    </row>
    <row r="453">
      <c r="H453" s="125"/>
      <c r="J453" s="125"/>
      <c r="L453" s="125"/>
    </row>
    <row r="454">
      <c r="H454" s="125"/>
      <c r="J454" s="125"/>
      <c r="L454" s="125"/>
    </row>
    <row r="455">
      <c r="H455" s="125"/>
      <c r="J455" s="125"/>
      <c r="L455" s="125"/>
    </row>
    <row r="456">
      <c r="H456" s="125"/>
      <c r="J456" s="125"/>
      <c r="L456" s="125"/>
    </row>
    <row r="457">
      <c r="H457" s="125"/>
      <c r="J457" s="125"/>
      <c r="L457" s="125"/>
    </row>
    <row r="458">
      <c r="H458" s="125"/>
      <c r="J458" s="125"/>
      <c r="L458" s="125"/>
    </row>
    <row r="459">
      <c r="H459" s="125"/>
      <c r="J459" s="125"/>
      <c r="L459" s="125"/>
    </row>
    <row r="460">
      <c r="H460" s="125"/>
      <c r="J460" s="125"/>
      <c r="L460" s="125"/>
    </row>
    <row r="461">
      <c r="H461" s="125"/>
      <c r="J461" s="125"/>
      <c r="L461" s="125"/>
    </row>
    <row r="462">
      <c r="H462" s="125"/>
      <c r="J462" s="125"/>
      <c r="L462" s="125"/>
    </row>
    <row r="463">
      <c r="H463" s="125"/>
      <c r="J463" s="125"/>
      <c r="L463" s="125"/>
    </row>
    <row r="464">
      <c r="H464" s="125"/>
      <c r="J464" s="125"/>
      <c r="L464" s="125"/>
    </row>
    <row r="465">
      <c r="H465" s="125"/>
      <c r="J465" s="125"/>
      <c r="L465" s="125"/>
    </row>
    <row r="466">
      <c r="H466" s="125"/>
      <c r="J466" s="125"/>
      <c r="L466" s="125"/>
    </row>
    <row r="467">
      <c r="H467" s="125"/>
      <c r="J467" s="125"/>
      <c r="L467" s="125"/>
    </row>
    <row r="468">
      <c r="H468" s="125"/>
      <c r="J468" s="125"/>
      <c r="L468" s="125"/>
    </row>
    <row r="469">
      <c r="H469" s="125"/>
      <c r="J469" s="125"/>
      <c r="L469" s="125"/>
    </row>
    <row r="470">
      <c r="H470" s="125"/>
      <c r="J470" s="125"/>
      <c r="L470" s="125"/>
    </row>
    <row r="471">
      <c r="H471" s="125"/>
      <c r="J471" s="125"/>
      <c r="L471" s="125"/>
    </row>
    <row r="472">
      <c r="H472" s="125"/>
      <c r="J472" s="125"/>
      <c r="L472" s="125"/>
    </row>
    <row r="473">
      <c r="H473" s="125"/>
      <c r="J473" s="125"/>
      <c r="L473" s="125"/>
    </row>
    <row r="474">
      <c r="H474" s="125"/>
      <c r="J474" s="125"/>
      <c r="L474" s="125"/>
    </row>
    <row r="475">
      <c r="H475" s="125"/>
      <c r="J475" s="125"/>
      <c r="L475" s="125"/>
    </row>
    <row r="476">
      <c r="H476" s="125"/>
      <c r="J476" s="125"/>
      <c r="L476" s="125"/>
    </row>
    <row r="477">
      <c r="H477" s="125"/>
      <c r="J477" s="125"/>
      <c r="L477" s="125"/>
    </row>
    <row r="478">
      <c r="H478" s="125"/>
      <c r="J478" s="125"/>
      <c r="L478" s="125"/>
    </row>
    <row r="479">
      <c r="H479" s="125"/>
      <c r="J479" s="125"/>
      <c r="L479" s="125"/>
    </row>
    <row r="480">
      <c r="H480" s="125"/>
      <c r="J480" s="125"/>
      <c r="L480" s="125"/>
    </row>
    <row r="481">
      <c r="H481" s="125"/>
      <c r="J481" s="125"/>
      <c r="L481" s="125"/>
    </row>
    <row r="482">
      <c r="H482" s="125"/>
      <c r="J482" s="125"/>
      <c r="L482" s="125"/>
    </row>
    <row r="483">
      <c r="H483" s="125"/>
      <c r="J483" s="125"/>
      <c r="L483" s="125"/>
    </row>
    <row r="484">
      <c r="H484" s="125"/>
      <c r="J484" s="125"/>
      <c r="L484" s="125"/>
    </row>
    <row r="485">
      <c r="H485" s="125"/>
      <c r="J485" s="125"/>
      <c r="L485" s="125"/>
    </row>
    <row r="486">
      <c r="H486" s="125"/>
      <c r="J486" s="125"/>
      <c r="L486" s="125"/>
    </row>
    <row r="487">
      <c r="H487" s="125"/>
      <c r="J487" s="125"/>
      <c r="L487" s="125"/>
    </row>
    <row r="488">
      <c r="H488" s="125"/>
      <c r="J488" s="125"/>
      <c r="L488" s="125"/>
    </row>
    <row r="489">
      <c r="H489" s="125"/>
      <c r="J489" s="125"/>
      <c r="L489" s="125"/>
    </row>
    <row r="490">
      <c r="H490" s="125"/>
      <c r="J490" s="125"/>
      <c r="L490" s="125"/>
    </row>
    <row r="491">
      <c r="H491" s="125"/>
      <c r="J491" s="125"/>
      <c r="L491" s="125"/>
    </row>
    <row r="492">
      <c r="H492" s="125"/>
      <c r="J492" s="125"/>
      <c r="L492" s="125"/>
    </row>
    <row r="493">
      <c r="H493" s="125"/>
      <c r="J493" s="125"/>
      <c r="L493" s="125"/>
    </row>
    <row r="494">
      <c r="H494" s="125"/>
      <c r="J494" s="125"/>
      <c r="L494" s="125"/>
    </row>
    <row r="495">
      <c r="H495" s="125"/>
      <c r="J495" s="125"/>
      <c r="L495" s="125"/>
    </row>
    <row r="496">
      <c r="H496" s="125"/>
      <c r="J496" s="125"/>
      <c r="L496" s="125"/>
    </row>
    <row r="497">
      <c r="H497" s="125"/>
      <c r="J497" s="125"/>
      <c r="L497" s="125"/>
    </row>
    <row r="498">
      <c r="H498" s="125"/>
      <c r="J498" s="125"/>
      <c r="L498" s="125"/>
    </row>
    <row r="499">
      <c r="H499" s="125"/>
      <c r="J499" s="125"/>
      <c r="L499" s="125"/>
    </row>
    <row r="500">
      <c r="H500" s="125"/>
      <c r="J500" s="125"/>
      <c r="L500" s="125"/>
    </row>
    <row r="501">
      <c r="H501" s="125"/>
      <c r="J501" s="125"/>
      <c r="L501" s="125"/>
    </row>
    <row r="502">
      <c r="H502" s="125"/>
      <c r="J502" s="125"/>
      <c r="L502" s="125"/>
    </row>
    <row r="503">
      <c r="H503" s="125"/>
      <c r="J503" s="125"/>
      <c r="L503" s="125"/>
    </row>
    <row r="504">
      <c r="H504" s="125"/>
      <c r="J504" s="125"/>
      <c r="L504" s="125"/>
    </row>
    <row r="505">
      <c r="H505" s="125"/>
      <c r="J505" s="125"/>
      <c r="L505" s="125"/>
    </row>
    <row r="506">
      <c r="H506" s="125"/>
      <c r="J506" s="125"/>
      <c r="L506" s="125"/>
    </row>
    <row r="507">
      <c r="H507" s="125"/>
      <c r="J507" s="125"/>
      <c r="L507" s="125"/>
    </row>
    <row r="508">
      <c r="H508" s="125"/>
      <c r="J508" s="125"/>
      <c r="L508" s="125"/>
    </row>
    <row r="509">
      <c r="H509" s="125"/>
      <c r="J509" s="125"/>
      <c r="L509" s="125"/>
    </row>
    <row r="510">
      <c r="H510" s="125"/>
      <c r="J510" s="125"/>
      <c r="L510" s="125"/>
    </row>
    <row r="511">
      <c r="H511" s="125"/>
      <c r="J511" s="125"/>
      <c r="L511" s="125"/>
    </row>
    <row r="512">
      <c r="H512" s="125"/>
      <c r="J512" s="125"/>
      <c r="L512" s="125"/>
    </row>
    <row r="513">
      <c r="H513" s="125"/>
      <c r="J513" s="125"/>
      <c r="L513" s="125"/>
    </row>
    <row r="514">
      <c r="H514" s="125"/>
      <c r="J514" s="125"/>
      <c r="L514" s="125"/>
    </row>
    <row r="515">
      <c r="H515" s="125"/>
      <c r="J515" s="125"/>
      <c r="L515" s="125"/>
    </row>
    <row r="516">
      <c r="H516" s="125"/>
      <c r="J516" s="125"/>
      <c r="L516" s="125"/>
    </row>
    <row r="517">
      <c r="H517" s="125"/>
      <c r="J517" s="125"/>
      <c r="L517" s="125"/>
    </row>
    <row r="518">
      <c r="H518" s="125"/>
      <c r="J518" s="125"/>
      <c r="L518" s="125"/>
    </row>
    <row r="519">
      <c r="H519" s="125"/>
      <c r="J519" s="125"/>
      <c r="L519" s="125"/>
    </row>
    <row r="520">
      <c r="H520" s="125"/>
      <c r="J520" s="125"/>
      <c r="L520" s="125"/>
    </row>
    <row r="521">
      <c r="H521" s="125"/>
      <c r="J521" s="125"/>
      <c r="L521" s="125"/>
    </row>
    <row r="522">
      <c r="H522" s="125"/>
      <c r="J522" s="125"/>
      <c r="L522" s="125"/>
    </row>
    <row r="523">
      <c r="H523" s="125"/>
      <c r="J523" s="125"/>
      <c r="L523" s="125"/>
    </row>
    <row r="524">
      <c r="H524" s="125"/>
      <c r="J524" s="125"/>
      <c r="L524" s="125"/>
    </row>
    <row r="525">
      <c r="H525" s="125"/>
      <c r="J525" s="125"/>
      <c r="L525" s="125"/>
    </row>
    <row r="526">
      <c r="H526" s="125"/>
      <c r="J526" s="125"/>
      <c r="L526" s="125"/>
    </row>
    <row r="527">
      <c r="H527" s="125"/>
      <c r="J527" s="125"/>
      <c r="L527" s="125"/>
    </row>
    <row r="528">
      <c r="H528" s="125"/>
      <c r="J528" s="125"/>
      <c r="L528" s="125"/>
    </row>
    <row r="529">
      <c r="H529" s="125"/>
      <c r="J529" s="125"/>
      <c r="L529" s="125"/>
    </row>
    <row r="530">
      <c r="H530" s="125"/>
      <c r="J530" s="125"/>
      <c r="L530" s="125"/>
    </row>
    <row r="531">
      <c r="H531" s="125"/>
      <c r="J531" s="125"/>
      <c r="L531" s="125"/>
    </row>
    <row r="532">
      <c r="H532" s="125"/>
      <c r="J532" s="125"/>
      <c r="L532" s="125"/>
    </row>
    <row r="533">
      <c r="H533" s="125"/>
      <c r="J533" s="125"/>
      <c r="L533" s="125"/>
    </row>
    <row r="534">
      <c r="H534" s="125"/>
      <c r="J534" s="125"/>
      <c r="L534" s="125"/>
    </row>
    <row r="535">
      <c r="H535" s="125"/>
      <c r="J535" s="125"/>
      <c r="L535" s="125"/>
    </row>
    <row r="536">
      <c r="H536" s="125"/>
      <c r="J536" s="125"/>
      <c r="L536" s="125"/>
    </row>
    <row r="537">
      <c r="H537" s="125"/>
      <c r="J537" s="125"/>
      <c r="L537" s="125"/>
    </row>
    <row r="538">
      <c r="H538" s="125"/>
      <c r="J538" s="125"/>
      <c r="L538" s="125"/>
    </row>
    <row r="539">
      <c r="H539" s="125"/>
      <c r="J539" s="125"/>
      <c r="L539" s="125"/>
    </row>
    <row r="540">
      <c r="H540" s="125"/>
      <c r="J540" s="125"/>
      <c r="L540" s="125"/>
    </row>
    <row r="541">
      <c r="H541" s="125"/>
      <c r="J541" s="125"/>
      <c r="L541" s="125"/>
    </row>
    <row r="542">
      <c r="H542" s="125"/>
      <c r="J542" s="125"/>
      <c r="L542" s="125"/>
    </row>
    <row r="543">
      <c r="H543" s="125"/>
      <c r="J543" s="125"/>
      <c r="L543" s="125"/>
    </row>
    <row r="544">
      <c r="H544" s="125"/>
      <c r="J544" s="125"/>
      <c r="L544" s="125"/>
    </row>
    <row r="545">
      <c r="H545" s="125"/>
      <c r="J545" s="125"/>
      <c r="L545" s="125"/>
    </row>
    <row r="546">
      <c r="H546" s="125"/>
      <c r="J546" s="125"/>
      <c r="L546" s="125"/>
    </row>
    <row r="547">
      <c r="H547" s="125"/>
      <c r="J547" s="125"/>
      <c r="L547" s="125"/>
    </row>
    <row r="548">
      <c r="H548" s="125"/>
      <c r="J548" s="125"/>
      <c r="L548" s="125"/>
    </row>
    <row r="549">
      <c r="H549" s="125"/>
      <c r="J549" s="125"/>
      <c r="L549" s="125"/>
    </row>
    <row r="550">
      <c r="H550" s="125"/>
      <c r="J550" s="125"/>
      <c r="L550" s="125"/>
    </row>
    <row r="551">
      <c r="H551" s="125"/>
      <c r="J551" s="125"/>
      <c r="L551" s="125"/>
    </row>
    <row r="552">
      <c r="H552" s="125"/>
      <c r="J552" s="125"/>
      <c r="L552" s="125"/>
    </row>
    <row r="553">
      <c r="H553" s="125"/>
      <c r="J553" s="125"/>
      <c r="L553" s="125"/>
    </row>
    <row r="554">
      <c r="H554" s="125"/>
      <c r="J554" s="125"/>
      <c r="L554" s="125"/>
    </row>
    <row r="555">
      <c r="H555" s="125"/>
      <c r="J555" s="125"/>
      <c r="L555" s="125"/>
    </row>
    <row r="556">
      <c r="H556" s="125"/>
      <c r="J556" s="125"/>
      <c r="L556" s="125"/>
    </row>
    <row r="557">
      <c r="H557" s="125"/>
      <c r="J557" s="125"/>
      <c r="L557" s="125"/>
    </row>
    <row r="558">
      <c r="H558" s="125"/>
      <c r="J558" s="125"/>
      <c r="L558" s="125"/>
    </row>
    <row r="559">
      <c r="H559" s="125"/>
      <c r="J559" s="125"/>
      <c r="L559" s="125"/>
    </row>
    <row r="560">
      <c r="H560" s="125"/>
      <c r="J560" s="125"/>
      <c r="L560" s="125"/>
    </row>
    <row r="561">
      <c r="H561" s="125"/>
      <c r="J561" s="125"/>
      <c r="L561" s="125"/>
    </row>
    <row r="562">
      <c r="H562" s="125"/>
      <c r="J562" s="125"/>
      <c r="L562" s="125"/>
    </row>
    <row r="563">
      <c r="H563" s="125"/>
      <c r="J563" s="125"/>
      <c r="L563" s="125"/>
    </row>
    <row r="564">
      <c r="H564" s="125"/>
      <c r="J564" s="125"/>
      <c r="L564" s="125"/>
    </row>
    <row r="565">
      <c r="H565" s="125"/>
      <c r="J565" s="125"/>
      <c r="L565" s="125"/>
    </row>
    <row r="566">
      <c r="H566" s="125"/>
      <c r="J566" s="125"/>
      <c r="L566" s="125"/>
    </row>
    <row r="567">
      <c r="H567" s="125"/>
      <c r="J567" s="125"/>
      <c r="L567" s="125"/>
    </row>
    <row r="568">
      <c r="H568" s="125"/>
      <c r="J568" s="125"/>
      <c r="L568" s="125"/>
    </row>
    <row r="569">
      <c r="H569" s="125"/>
      <c r="J569" s="125"/>
      <c r="L569" s="125"/>
    </row>
    <row r="570">
      <c r="H570" s="125"/>
      <c r="J570" s="125"/>
      <c r="L570" s="125"/>
    </row>
    <row r="571">
      <c r="H571" s="125"/>
      <c r="J571" s="125"/>
      <c r="L571" s="125"/>
    </row>
    <row r="572">
      <c r="H572" s="125"/>
      <c r="J572" s="125"/>
      <c r="L572" s="125"/>
    </row>
    <row r="573">
      <c r="H573" s="125"/>
      <c r="J573" s="125"/>
      <c r="L573" s="125"/>
    </row>
    <row r="574">
      <c r="H574" s="125"/>
      <c r="J574" s="125"/>
      <c r="L574" s="125"/>
    </row>
    <row r="575">
      <c r="H575" s="125"/>
      <c r="J575" s="125"/>
      <c r="L575" s="125"/>
    </row>
    <row r="576">
      <c r="H576" s="125"/>
      <c r="J576" s="125"/>
      <c r="L576" s="125"/>
    </row>
    <row r="577">
      <c r="H577" s="125"/>
      <c r="J577" s="125"/>
      <c r="L577" s="125"/>
    </row>
    <row r="578">
      <c r="H578" s="125"/>
      <c r="J578" s="125"/>
      <c r="L578" s="125"/>
    </row>
    <row r="579">
      <c r="H579" s="125"/>
      <c r="J579" s="125"/>
      <c r="L579" s="125"/>
    </row>
    <row r="580">
      <c r="H580" s="125"/>
      <c r="J580" s="125"/>
      <c r="L580" s="125"/>
    </row>
    <row r="581">
      <c r="H581" s="125"/>
      <c r="J581" s="125"/>
      <c r="L581" s="125"/>
    </row>
    <row r="582">
      <c r="H582" s="125"/>
      <c r="J582" s="125"/>
      <c r="L582" s="125"/>
    </row>
    <row r="583">
      <c r="H583" s="125"/>
      <c r="J583" s="125"/>
      <c r="L583" s="125"/>
    </row>
    <row r="584">
      <c r="H584" s="125"/>
      <c r="J584" s="125"/>
      <c r="L584" s="125"/>
    </row>
    <row r="585">
      <c r="H585" s="125"/>
      <c r="J585" s="125"/>
      <c r="L585" s="125"/>
    </row>
    <row r="586">
      <c r="H586" s="125"/>
      <c r="J586" s="125"/>
      <c r="L586" s="125"/>
    </row>
    <row r="587">
      <c r="H587" s="125"/>
      <c r="J587" s="125"/>
      <c r="L587" s="125"/>
    </row>
    <row r="588">
      <c r="H588" s="125"/>
      <c r="J588" s="125"/>
      <c r="L588" s="125"/>
    </row>
    <row r="589">
      <c r="H589" s="125"/>
      <c r="J589" s="125"/>
      <c r="L589" s="125"/>
    </row>
    <row r="590">
      <c r="H590" s="125"/>
      <c r="J590" s="125"/>
      <c r="L590" s="125"/>
    </row>
    <row r="591">
      <c r="H591" s="125"/>
      <c r="J591" s="125"/>
      <c r="L591" s="125"/>
    </row>
    <row r="592">
      <c r="H592" s="125"/>
      <c r="J592" s="125"/>
      <c r="L592" s="125"/>
    </row>
    <row r="593">
      <c r="H593" s="125"/>
      <c r="J593" s="125"/>
      <c r="L593" s="125"/>
    </row>
    <row r="594">
      <c r="H594" s="125"/>
      <c r="J594" s="125"/>
      <c r="L594" s="125"/>
    </row>
    <row r="595">
      <c r="H595" s="125"/>
      <c r="J595" s="125"/>
      <c r="L595" s="125"/>
    </row>
    <row r="596">
      <c r="H596" s="125"/>
      <c r="J596" s="125"/>
      <c r="L596" s="125"/>
    </row>
    <row r="597">
      <c r="H597" s="125"/>
      <c r="J597" s="125"/>
      <c r="L597" s="125"/>
    </row>
    <row r="598">
      <c r="H598" s="125"/>
      <c r="J598" s="125"/>
      <c r="L598" s="125"/>
    </row>
    <row r="599">
      <c r="H599" s="125"/>
      <c r="J599" s="125"/>
      <c r="L599" s="125"/>
    </row>
    <row r="600">
      <c r="H600" s="125"/>
      <c r="J600" s="125"/>
      <c r="L600" s="125"/>
    </row>
    <row r="601">
      <c r="H601" s="125"/>
      <c r="J601" s="125"/>
      <c r="L601" s="125"/>
    </row>
    <row r="602">
      <c r="H602" s="125"/>
      <c r="J602" s="125"/>
      <c r="L602" s="125"/>
    </row>
    <row r="603">
      <c r="H603" s="125"/>
      <c r="J603" s="125"/>
      <c r="L603" s="125"/>
    </row>
    <row r="604">
      <c r="H604" s="125"/>
      <c r="J604" s="125"/>
      <c r="L604" s="125"/>
    </row>
    <row r="605">
      <c r="H605" s="125"/>
      <c r="J605" s="125"/>
      <c r="L605" s="125"/>
    </row>
    <row r="606">
      <c r="H606" s="125"/>
      <c r="J606" s="125"/>
      <c r="L606" s="125"/>
    </row>
    <row r="607">
      <c r="H607" s="125"/>
      <c r="J607" s="125"/>
      <c r="L607" s="125"/>
    </row>
    <row r="608">
      <c r="H608" s="125"/>
      <c r="J608" s="125"/>
      <c r="L608" s="125"/>
    </row>
    <row r="609">
      <c r="H609" s="125"/>
      <c r="J609" s="125"/>
      <c r="L609" s="125"/>
    </row>
    <row r="610">
      <c r="H610" s="125"/>
      <c r="J610" s="125"/>
      <c r="L610" s="125"/>
    </row>
    <row r="611">
      <c r="H611" s="125"/>
      <c r="J611" s="125"/>
      <c r="L611" s="125"/>
    </row>
    <row r="612">
      <c r="H612" s="125"/>
      <c r="J612" s="125"/>
      <c r="L612" s="125"/>
    </row>
    <row r="613">
      <c r="H613" s="125"/>
      <c r="J613" s="125"/>
      <c r="L613" s="125"/>
    </row>
    <row r="614">
      <c r="H614" s="125"/>
      <c r="J614" s="125"/>
      <c r="L614" s="125"/>
    </row>
    <row r="615">
      <c r="H615" s="125"/>
      <c r="J615" s="125"/>
      <c r="L615" s="125"/>
    </row>
    <row r="616">
      <c r="H616" s="125"/>
      <c r="J616" s="125"/>
      <c r="L616" s="125"/>
    </row>
    <row r="617">
      <c r="H617" s="125"/>
      <c r="J617" s="125"/>
      <c r="L617" s="125"/>
    </row>
    <row r="618">
      <c r="H618" s="125"/>
      <c r="J618" s="125"/>
      <c r="L618" s="125"/>
    </row>
    <row r="619">
      <c r="H619" s="125"/>
      <c r="J619" s="125"/>
      <c r="L619" s="125"/>
    </row>
    <row r="620">
      <c r="H620" s="125"/>
      <c r="J620" s="125"/>
      <c r="L620" s="125"/>
    </row>
    <row r="621">
      <c r="H621" s="125"/>
      <c r="J621" s="125"/>
      <c r="L621" s="125"/>
    </row>
    <row r="622">
      <c r="H622" s="125"/>
      <c r="J622" s="125"/>
      <c r="L622" s="125"/>
    </row>
    <row r="623">
      <c r="H623" s="125"/>
      <c r="J623" s="125"/>
      <c r="L623" s="125"/>
    </row>
    <row r="624">
      <c r="H624" s="125"/>
      <c r="J624" s="125"/>
      <c r="L624" s="125"/>
    </row>
    <row r="625">
      <c r="H625" s="125"/>
      <c r="J625" s="125"/>
      <c r="L625" s="125"/>
    </row>
    <row r="626">
      <c r="H626" s="125"/>
      <c r="J626" s="125"/>
      <c r="L626" s="125"/>
    </row>
    <row r="627">
      <c r="H627" s="125"/>
      <c r="J627" s="125"/>
      <c r="L627" s="125"/>
    </row>
    <row r="628">
      <c r="H628" s="125"/>
      <c r="J628" s="125"/>
      <c r="L628" s="125"/>
    </row>
    <row r="629">
      <c r="H629" s="125"/>
      <c r="J629" s="125"/>
      <c r="L629" s="125"/>
    </row>
    <row r="630">
      <c r="H630" s="125"/>
      <c r="J630" s="125"/>
      <c r="L630" s="125"/>
    </row>
    <row r="631">
      <c r="H631" s="125"/>
      <c r="J631" s="125"/>
      <c r="L631" s="125"/>
    </row>
    <row r="632">
      <c r="H632" s="125"/>
      <c r="J632" s="125"/>
      <c r="L632" s="125"/>
    </row>
    <row r="633">
      <c r="H633" s="125"/>
      <c r="J633" s="125"/>
      <c r="L633" s="125"/>
    </row>
    <row r="634">
      <c r="H634" s="125"/>
      <c r="J634" s="125"/>
      <c r="L634" s="125"/>
    </row>
    <row r="635">
      <c r="H635" s="125"/>
      <c r="J635" s="125"/>
      <c r="L635" s="125"/>
    </row>
    <row r="636">
      <c r="H636" s="125"/>
      <c r="J636" s="125"/>
      <c r="L636" s="125"/>
    </row>
    <row r="637">
      <c r="H637" s="125"/>
      <c r="J637" s="125"/>
      <c r="L637" s="125"/>
    </row>
    <row r="638">
      <c r="H638" s="125"/>
      <c r="J638" s="125"/>
      <c r="L638" s="125"/>
    </row>
    <row r="639">
      <c r="H639" s="125"/>
      <c r="J639" s="125"/>
      <c r="L639" s="125"/>
    </row>
    <row r="640">
      <c r="H640" s="125"/>
      <c r="J640" s="125"/>
      <c r="L640" s="125"/>
    </row>
    <row r="641">
      <c r="H641" s="125"/>
      <c r="J641" s="125"/>
      <c r="L641" s="125"/>
    </row>
    <row r="642">
      <c r="H642" s="125"/>
      <c r="J642" s="125"/>
      <c r="L642" s="125"/>
    </row>
    <row r="643">
      <c r="H643" s="125"/>
      <c r="J643" s="125"/>
      <c r="L643" s="125"/>
    </row>
    <row r="644">
      <c r="H644" s="125"/>
      <c r="J644" s="125"/>
      <c r="L644" s="125"/>
    </row>
    <row r="645">
      <c r="H645" s="125"/>
      <c r="J645" s="125"/>
      <c r="L645" s="125"/>
    </row>
    <row r="646">
      <c r="H646" s="125"/>
      <c r="J646" s="125"/>
      <c r="L646" s="125"/>
    </row>
    <row r="647">
      <c r="H647" s="125"/>
      <c r="J647" s="125"/>
      <c r="L647" s="125"/>
    </row>
    <row r="648">
      <c r="H648" s="125"/>
      <c r="J648" s="125"/>
      <c r="L648" s="125"/>
    </row>
    <row r="649">
      <c r="H649" s="125"/>
      <c r="J649" s="125"/>
      <c r="L649" s="125"/>
    </row>
    <row r="650">
      <c r="H650" s="125"/>
      <c r="J650" s="125"/>
      <c r="L650" s="125"/>
    </row>
    <row r="651">
      <c r="H651" s="125"/>
      <c r="J651" s="125"/>
      <c r="L651" s="125"/>
    </row>
    <row r="652">
      <c r="H652" s="125"/>
      <c r="J652" s="125"/>
      <c r="L652" s="125"/>
    </row>
    <row r="653">
      <c r="H653" s="125"/>
      <c r="J653" s="125"/>
      <c r="L653" s="125"/>
    </row>
    <row r="654">
      <c r="H654" s="125"/>
      <c r="J654" s="125"/>
      <c r="L654" s="125"/>
    </row>
    <row r="655">
      <c r="H655" s="125"/>
      <c r="J655" s="125"/>
      <c r="L655" s="125"/>
    </row>
    <row r="656">
      <c r="H656" s="125"/>
      <c r="J656" s="125"/>
      <c r="L656" s="125"/>
    </row>
    <row r="657">
      <c r="H657" s="125"/>
      <c r="J657" s="125"/>
      <c r="L657" s="125"/>
    </row>
    <row r="658">
      <c r="H658" s="125"/>
      <c r="J658" s="125"/>
      <c r="L658" s="125"/>
    </row>
    <row r="659">
      <c r="H659" s="125"/>
      <c r="J659" s="125"/>
      <c r="L659" s="125"/>
    </row>
    <row r="660">
      <c r="H660" s="125"/>
      <c r="J660" s="125"/>
      <c r="L660" s="125"/>
    </row>
    <row r="661">
      <c r="H661" s="125"/>
      <c r="J661" s="125"/>
      <c r="L661" s="125"/>
    </row>
    <row r="662">
      <c r="H662" s="125"/>
      <c r="J662" s="125"/>
      <c r="L662" s="125"/>
    </row>
    <row r="663">
      <c r="H663" s="125"/>
      <c r="J663" s="125"/>
      <c r="L663" s="125"/>
    </row>
    <row r="664">
      <c r="H664" s="125"/>
      <c r="J664" s="125"/>
      <c r="L664" s="125"/>
    </row>
    <row r="665">
      <c r="H665" s="125"/>
      <c r="J665" s="125"/>
      <c r="L665" s="125"/>
    </row>
    <row r="666">
      <c r="H666" s="125"/>
      <c r="J666" s="125"/>
      <c r="L666" s="125"/>
    </row>
    <row r="667">
      <c r="H667" s="125"/>
      <c r="J667" s="125"/>
      <c r="L667" s="125"/>
    </row>
    <row r="668">
      <c r="H668" s="125"/>
      <c r="J668" s="125"/>
      <c r="L668" s="125"/>
    </row>
    <row r="669">
      <c r="H669" s="125"/>
      <c r="J669" s="125"/>
      <c r="L669" s="125"/>
    </row>
    <row r="670">
      <c r="H670" s="125"/>
      <c r="J670" s="125"/>
      <c r="L670" s="125"/>
    </row>
    <row r="671">
      <c r="H671" s="125"/>
      <c r="J671" s="125"/>
      <c r="L671" s="125"/>
    </row>
    <row r="672">
      <c r="H672" s="125"/>
      <c r="J672" s="125"/>
      <c r="L672" s="125"/>
    </row>
    <row r="673">
      <c r="H673" s="125"/>
      <c r="J673" s="125"/>
      <c r="L673" s="125"/>
    </row>
    <row r="674">
      <c r="H674" s="125"/>
      <c r="J674" s="125"/>
      <c r="L674" s="125"/>
    </row>
    <row r="675">
      <c r="H675" s="125"/>
      <c r="J675" s="125"/>
      <c r="L675" s="125"/>
    </row>
    <row r="676">
      <c r="H676" s="125"/>
      <c r="J676" s="125"/>
      <c r="L676" s="125"/>
    </row>
    <row r="677">
      <c r="H677" s="125"/>
      <c r="J677" s="125"/>
      <c r="L677" s="125"/>
    </row>
    <row r="678">
      <c r="H678" s="125"/>
      <c r="J678" s="125"/>
      <c r="L678" s="125"/>
    </row>
    <row r="679">
      <c r="H679" s="125"/>
      <c r="J679" s="125"/>
      <c r="L679" s="125"/>
    </row>
    <row r="680">
      <c r="H680" s="125"/>
      <c r="J680" s="125"/>
      <c r="L680" s="125"/>
    </row>
    <row r="681">
      <c r="H681" s="125"/>
      <c r="J681" s="125"/>
      <c r="L681" s="125"/>
    </row>
    <row r="682">
      <c r="H682" s="125"/>
      <c r="J682" s="125"/>
      <c r="L682" s="125"/>
    </row>
    <row r="683">
      <c r="H683" s="125"/>
      <c r="J683" s="125"/>
      <c r="L683" s="125"/>
    </row>
    <row r="684">
      <c r="H684" s="125"/>
      <c r="J684" s="125"/>
      <c r="L684" s="125"/>
    </row>
    <row r="685">
      <c r="H685" s="125"/>
      <c r="J685" s="125"/>
      <c r="L685" s="125"/>
    </row>
    <row r="686">
      <c r="H686" s="125"/>
      <c r="J686" s="125"/>
      <c r="L686" s="125"/>
    </row>
    <row r="687">
      <c r="H687" s="125"/>
      <c r="J687" s="125"/>
      <c r="L687" s="125"/>
    </row>
    <row r="688">
      <c r="H688" s="125"/>
      <c r="J688" s="125"/>
      <c r="L688" s="125"/>
    </row>
    <row r="689">
      <c r="H689" s="125"/>
      <c r="J689" s="125"/>
      <c r="L689" s="125"/>
    </row>
    <row r="690">
      <c r="H690" s="125"/>
      <c r="J690" s="125"/>
      <c r="L690" s="125"/>
    </row>
    <row r="691">
      <c r="H691" s="125"/>
      <c r="J691" s="125"/>
      <c r="L691" s="125"/>
    </row>
    <row r="692">
      <c r="H692" s="125"/>
      <c r="J692" s="125"/>
      <c r="L692" s="125"/>
    </row>
    <row r="693">
      <c r="H693" s="125"/>
      <c r="J693" s="125"/>
      <c r="L693" s="125"/>
    </row>
    <row r="694">
      <c r="H694" s="125"/>
      <c r="J694" s="125"/>
      <c r="L694" s="125"/>
    </row>
    <row r="695">
      <c r="H695" s="125"/>
      <c r="J695" s="125"/>
      <c r="L695" s="125"/>
    </row>
    <row r="696">
      <c r="H696" s="125"/>
      <c r="J696" s="125"/>
      <c r="L696" s="125"/>
    </row>
    <row r="697">
      <c r="H697" s="125"/>
      <c r="J697" s="125"/>
      <c r="L697" s="125"/>
    </row>
    <row r="698">
      <c r="H698" s="125"/>
      <c r="J698" s="125"/>
      <c r="L698" s="125"/>
    </row>
    <row r="699">
      <c r="H699" s="125"/>
      <c r="J699" s="125"/>
      <c r="L699" s="125"/>
    </row>
    <row r="700">
      <c r="H700" s="125"/>
      <c r="J700" s="125"/>
      <c r="L700" s="125"/>
    </row>
    <row r="701">
      <c r="H701" s="125"/>
      <c r="J701" s="125"/>
      <c r="L701" s="125"/>
    </row>
    <row r="702">
      <c r="H702" s="125"/>
      <c r="J702" s="125"/>
      <c r="L702" s="125"/>
    </row>
    <row r="703">
      <c r="H703" s="125"/>
      <c r="J703" s="125"/>
      <c r="L703" s="125"/>
    </row>
    <row r="704">
      <c r="H704" s="125"/>
      <c r="J704" s="125"/>
      <c r="L704" s="125"/>
    </row>
    <row r="705">
      <c r="H705" s="125"/>
      <c r="J705" s="125"/>
      <c r="L705" s="125"/>
    </row>
    <row r="706">
      <c r="H706" s="125"/>
      <c r="J706" s="125"/>
      <c r="L706" s="125"/>
    </row>
    <row r="707">
      <c r="H707" s="125"/>
      <c r="J707" s="125"/>
      <c r="L707" s="125"/>
    </row>
    <row r="708">
      <c r="H708" s="125"/>
      <c r="J708" s="125"/>
      <c r="L708" s="125"/>
    </row>
    <row r="709">
      <c r="H709" s="125"/>
      <c r="J709" s="125"/>
      <c r="L709" s="125"/>
    </row>
    <row r="710">
      <c r="H710" s="125"/>
      <c r="J710" s="125"/>
      <c r="L710" s="125"/>
    </row>
    <row r="711">
      <c r="H711" s="125"/>
      <c r="J711" s="125"/>
      <c r="L711" s="125"/>
    </row>
    <row r="712">
      <c r="H712" s="125"/>
      <c r="J712" s="125"/>
      <c r="L712" s="125"/>
    </row>
    <row r="713">
      <c r="H713" s="125"/>
      <c r="J713" s="125"/>
      <c r="L713" s="125"/>
    </row>
    <row r="714">
      <c r="H714" s="125"/>
      <c r="J714" s="125"/>
      <c r="L714" s="125"/>
    </row>
    <row r="715">
      <c r="H715" s="125"/>
      <c r="J715" s="125"/>
      <c r="L715" s="125"/>
    </row>
    <row r="716">
      <c r="H716" s="125"/>
      <c r="J716" s="125"/>
      <c r="L716" s="125"/>
    </row>
    <row r="717">
      <c r="H717" s="125"/>
      <c r="J717" s="125"/>
      <c r="L717" s="125"/>
    </row>
    <row r="718">
      <c r="H718" s="125"/>
      <c r="J718" s="125"/>
      <c r="L718" s="125"/>
    </row>
    <row r="719">
      <c r="H719" s="125"/>
      <c r="J719" s="125"/>
      <c r="L719" s="125"/>
    </row>
    <row r="720">
      <c r="H720" s="125"/>
      <c r="J720" s="125"/>
      <c r="L720" s="125"/>
    </row>
    <row r="721">
      <c r="H721" s="125"/>
      <c r="J721" s="125"/>
      <c r="L721" s="125"/>
    </row>
    <row r="722">
      <c r="H722" s="125"/>
      <c r="J722" s="125"/>
      <c r="L722" s="125"/>
    </row>
    <row r="723">
      <c r="H723" s="125"/>
      <c r="J723" s="125"/>
      <c r="L723" s="125"/>
    </row>
    <row r="724">
      <c r="H724" s="125"/>
      <c r="J724" s="125"/>
      <c r="L724" s="125"/>
    </row>
    <row r="725">
      <c r="H725" s="125"/>
      <c r="J725" s="125"/>
      <c r="L725" s="125"/>
    </row>
    <row r="726">
      <c r="H726" s="125"/>
      <c r="J726" s="125"/>
      <c r="L726" s="125"/>
    </row>
    <row r="727">
      <c r="H727" s="125"/>
      <c r="J727" s="125"/>
      <c r="L727" s="125"/>
    </row>
    <row r="728">
      <c r="H728" s="125"/>
      <c r="J728" s="125"/>
      <c r="L728" s="125"/>
    </row>
    <row r="729">
      <c r="H729" s="125"/>
      <c r="J729" s="125"/>
      <c r="L729" s="125"/>
    </row>
    <row r="730">
      <c r="H730" s="125"/>
      <c r="J730" s="125"/>
      <c r="L730" s="125"/>
    </row>
    <row r="731">
      <c r="H731" s="125"/>
      <c r="J731" s="125"/>
      <c r="L731" s="125"/>
    </row>
    <row r="732">
      <c r="H732" s="125"/>
      <c r="J732" s="125"/>
      <c r="L732" s="125"/>
    </row>
    <row r="733">
      <c r="H733" s="125"/>
      <c r="J733" s="125"/>
      <c r="L733" s="125"/>
    </row>
    <row r="734">
      <c r="H734" s="125"/>
      <c r="J734" s="125"/>
      <c r="L734" s="125"/>
    </row>
    <row r="735">
      <c r="H735" s="125"/>
      <c r="J735" s="125"/>
      <c r="L735" s="125"/>
    </row>
    <row r="736">
      <c r="H736" s="125"/>
      <c r="J736" s="125"/>
      <c r="L736" s="125"/>
    </row>
    <row r="737">
      <c r="H737" s="125"/>
      <c r="J737" s="125"/>
      <c r="L737" s="125"/>
    </row>
    <row r="738">
      <c r="H738" s="125"/>
      <c r="J738" s="125"/>
      <c r="L738" s="125"/>
    </row>
    <row r="739">
      <c r="H739" s="125"/>
      <c r="J739" s="125"/>
      <c r="L739" s="125"/>
    </row>
    <row r="740">
      <c r="H740" s="125"/>
      <c r="J740" s="125"/>
      <c r="L740" s="125"/>
    </row>
    <row r="741">
      <c r="H741" s="125"/>
      <c r="J741" s="125"/>
      <c r="L741" s="125"/>
    </row>
    <row r="742">
      <c r="H742" s="125"/>
      <c r="J742" s="125"/>
      <c r="L742" s="125"/>
    </row>
    <row r="743">
      <c r="H743" s="125"/>
      <c r="J743" s="125"/>
      <c r="L743" s="125"/>
    </row>
    <row r="744">
      <c r="H744" s="125"/>
      <c r="J744" s="125"/>
      <c r="L744" s="125"/>
    </row>
    <row r="745">
      <c r="H745" s="125"/>
      <c r="J745" s="125"/>
      <c r="L745" s="125"/>
    </row>
    <row r="746">
      <c r="H746" s="125"/>
      <c r="J746" s="125"/>
      <c r="L746" s="125"/>
    </row>
    <row r="747">
      <c r="H747" s="125"/>
      <c r="J747" s="125"/>
      <c r="L747" s="125"/>
    </row>
    <row r="748">
      <c r="H748" s="125"/>
      <c r="J748" s="125"/>
      <c r="L748" s="125"/>
    </row>
    <row r="749">
      <c r="H749" s="125"/>
      <c r="J749" s="125"/>
      <c r="L749" s="125"/>
    </row>
    <row r="750">
      <c r="H750" s="125"/>
      <c r="J750" s="125"/>
      <c r="L750" s="125"/>
    </row>
    <row r="751">
      <c r="H751" s="125"/>
      <c r="J751" s="125"/>
      <c r="L751" s="125"/>
    </row>
    <row r="752">
      <c r="H752" s="125"/>
      <c r="J752" s="125"/>
      <c r="L752" s="125"/>
    </row>
    <row r="753">
      <c r="H753" s="125"/>
      <c r="J753" s="125"/>
      <c r="L753" s="125"/>
    </row>
    <row r="754">
      <c r="H754" s="125"/>
      <c r="J754" s="125"/>
      <c r="L754" s="125"/>
    </row>
    <row r="755">
      <c r="H755" s="125"/>
      <c r="J755" s="125"/>
      <c r="L755" s="125"/>
    </row>
    <row r="756">
      <c r="H756" s="125"/>
      <c r="J756" s="125"/>
      <c r="L756" s="125"/>
    </row>
    <row r="757">
      <c r="H757" s="125"/>
      <c r="J757" s="125"/>
      <c r="L757" s="125"/>
    </row>
    <row r="758">
      <c r="H758" s="125"/>
      <c r="J758" s="125"/>
      <c r="L758" s="125"/>
    </row>
    <row r="759">
      <c r="H759" s="125"/>
      <c r="J759" s="125"/>
      <c r="L759" s="125"/>
    </row>
    <row r="760">
      <c r="H760" s="125"/>
      <c r="J760" s="125"/>
      <c r="L760" s="125"/>
    </row>
    <row r="761">
      <c r="H761" s="125"/>
      <c r="J761" s="125"/>
      <c r="L761" s="125"/>
    </row>
    <row r="762">
      <c r="H762" s="125"/>
      <c r="J762" s="125"/>
      <c r="L762" s="125"/>
    </row>
    <row r="763">
      <c r="H763" s="125"/>
      <c r="J763" s="125"/>
      <c r="L763" s="125"/>
    </row>
    <row r="764">
      <c r="H764" s="125"/>
      <c r="J764" s="125"/>
      <c r="L764" s="125"/>
    </row>
    <row r="765">
      <c r="H765" s="125"/>
      <c r="J765" s="125"/>
      <c r="L765" s="125"/>
    </row>
    <row r="766">
      <c r="H766" s="125"/>
      <c r="J766" s="125"/>
      <c r="L766" s="125"/>
    </row>
    <row r="767">
      <c r="H767" s="125"/>
      <c r="J767" s="125"/>
      <c r="L767" s="125"/>
    </row>
    <row r="768">
      <c r="H768" s="125"/>
      <c r="J768" s="125"/>
      <c r="L768" s="125"/>
    </row>
    <row r="769">
      <c r="H769" s="125"/>
      <c r="J769" s="125"/>
      <c r="L769" s="125"/>
    </row>
    <row r="770">
      <c r="H770" s="125"/>
      <c r="J770" s="125"/>
      <c r="L770" s="125"/>
    </row>
    <row r="771">
      <c r="H771" s="125"/>
      <c r="J771" s="125"/>
      <c r="L771" s="125"/>
    </row>
    <row r="772">
      <c r="H772" s="125"/>
      <c r="J772" s="125"/>
      <c r="L772" s="125"/>
    </row>
    <row r="773">
      <c r="H773" s="125"/>
      <c r="J773" s="125"/>
      <c r="L773" s="125"/>
    </row>
    <row r="774">
      <c r="H774" s="125"/>
      <c r="J774" s="125"/>
      <c r="L774" s="125"/>
    </row>
    <row r="775">
      <c r="H775" s="125"/>
      <c r="J775" s="125"/>
      <c r="L775" s="125"/>
    </row>
    <row r="776">
      <c r="H776" s="125"/>
      <c r="J776" s="125"/>
      <c r="L776" s="125"/>
    </row>
    <row r="777">
      <c r="H777" s="125"/>
      <c r="J777" s="125"/>
      <c r="L777" s="125"/>
    </row>
    <row r="778">
      <c r="H778" s="125"/>
      <c r="J778" s="125"/>
      <c r="L778" s="125"/>
    </row>
    <row r="779">
      <c r="H779" s="125"/>
      <c r="J779" s="125"/>
      <c r="L779" s="125"/>
    </row>
    <row r="780">
      <c r="H780" s="125"/>
      <c r="J780" s="125"/>
      <c r="L780" s="125"/>
    </row>
    <row r="781">
      <c r="H781" s="125"/>
      <c r="J781" s="125"/>
      <c r="L781" s="125"/>
    </row>
    <row r="782">
      <c r="H782" s="125"/>
      <c r="J782" s="125"/>
      <c r="L782" s="125"/>
    </row>
    <row r="783">
      <c r="H783" s="125"/>
      <c r="J783" s="125"/>
      <c r="L783" s="125"/>
    </row>
    <row r="784">
      <c r="H784" s="125"/>
      <c r="J784" s="125"/>
      <c r="L784" s="125"/>
    </row>
    <row r="785">
      <c r="H785" s="125"/>
      <c r="J785" s="125"/>
      <c r="L785" s="125"/>
    </row>
    <row r="786">
      <c r="H786" s="125"/>
      <c r="J786" s="125"/>
      <c r="L786" s="125"/>
    </row>
    <row r="787">
      <c r="H787" s="125"/>
      <c r="J787" s="125"/>
      <c r="L787" s="125"/>
    </row>
    <row r="788">
      <c r="H788" s="125"/>
      <c r="J788" s="125"/>
      <c r="L788" s="125"/>
    </row>
    <row r="789">
      <c r="H789" s="125"/>
      <c r="J789" s="125"/>
      <c r="L789" s="125"/>
    </row>
    <row r="790">
      <c r="H790" s="125"/>
      <c r="J790" s="125"/>
      <c r="L790" s="125"/>
    </row>
    <row r="791">
      <c r="H791" s="125"/>
      <c r="J791" s="125"/>
      <c r="L791" s="125"/>
    </row>
    <row r="792">
      <c r="H792" s="125"/>
      <c r="J792" s="125"/>
      <c r="L792" s="125"/>
    </row>
    <row r="793">
      <c r="H793" s="125"/>
      <c r="J793" s="125"/>
      <c r="L793" s="125"/>
    </row>
    <row r="794">
      <c r="H794" s="125"/>
      <c r="J794" s="125"/>
      <c r="L794" s="125"/>
    </row>
    <row r="795">
      <c r="H795" s="125"/>
      <c r="J795" s="125"/>
      <c r="L795" s="125"/>
    </row>
    <row r="796">
      <c r="H796" s="125"/>
      <c r="J796" s="125"/>
      <c r="L796" s="125"/>
    </row>
    <row r="797">
      <c r="H797" s="125"/>
      <c r="J797" s="125"/>
      <c r="L797" s="125"/>
    </row>
    <row r="798">
      <c r="H798" s="125"/>
      <c r="J798" s="125"/>
      <c r="L798" s="125"/>
    </row>
    <row r="799">
      <c r="H799" s="125"/>
      <c r="J799" s="125"/>
      <c r="L799" s="125"/>
    </row>
    <row r="800">
      <c r="H800" s="125"/>
      <c r="J800" s="125"/>
      <c r="L800" s="125"/>
    </row>
    <row r="801">
      <c r="H801" s="125"/>
      <c r="J801" s="125"/>
      <c r="L801" s="125"/>
    </row>
    <row r="802">
      <c r="H802" s="125"/>
      <c r="J802" s="125"/>
      <c r="L802" s="125"/>
    </row>
    <row r="803">
      <c r="H803" s="125"/>
      <c r="J803" s="125"/>
      <c r="L803" s="125"/>
    </row>
    <row r="804">
      <c r="H804" s="125"/>
      <c r="J804" s="125"/>
      <c r="L804" s="125"/>
    </row>
    <row r="805">
      <c r="H805" s="125"/>
      <c r="J805" s="125"/>
      <c r="L805" s="125"/>
    </row>
    <row r="806">
      <c r="H806" s="125"/>
      <c r="J806" s="125"/>
      <c r="L806" s="125"/>
    </row>
    <row r="807">
      <c r="H807" s="125"/>
      <c r="J807" s="125"/>
      <c r="L807" s="125"/>
    </row>
    <row r="808">
      <c r="H808" s="125"/>
      <c r="J808" s="125"/>
      <c r="L808" s="125"/>
    </row>
    <row r="809">
      <c r="H809" s="125"/>
      <c r="J809" s="125"/>
      <c r="L809" s="125"/>
    </row>
    <row r="810">
      <c r="H810" s="125"/>
      <c r="J810" s="125"/>
      <c r="L810" s="125"/>
    </row>
    <row r="811">
      <c r="H811" s="125"/>
      <c r="J811" s="125"/>
      <c r="L811" s="125"/>
    </row>
    <row r="812">
      <c r="H812" s="125"/>
      <c r="J812" s="125"/>
      <c r="L812" s="125"/>
    </row>
    <row r="813">
      <c r="H813" s="125"/>
      <c r="J813" s="125"/>
      <c r="L813" s="125"/>
    </row>
    <row r="814">
      <c r="H814" s="125"/>
      <c r="J814" s="125"/>
      <c r="L814" s="125"/>
    </row>
    <row r="815">
      <c r="H815" s="125"/>
      <c r="J815" s="125"/>
      <c r="L815" s="125"/>
    </row>
    <row r="816">
      <c r="H816" s="125"/>
      <c r="J816" s="125"/>
      <c r="L816" s="125"/>
    </row>
    <row r="817">
      <c r="H817" s="125"/>
      <c r="J817" s="125"/>
      <c r="L817" s="125"/>
    </row>
    <row r="818">
      <c r="H818" s="125"/>
      <c r="J818" s="125"/>
      <c r="L818" s="125"/>
    </row>
    <row r="819">
      <c r="H819" s="125"/>
      <c r="J819" s="125"/>
      <c r="L819" s="125"/>
    </row>
    <row r="820">
      <c r="H820" s="125"/>
      <c r="J820" s="125"/>
      <c r="L820" s="125"/>
    </row>
    <row r="821">
      <c r="H821" s="125"/>
      <c r="J821" s="125"/>
      <c r="L821" s="125"/>
    </row>
    <row r="822">
      <c r="H822" s="125"/>
      <c r="J822" s="125"/>
      <c r="L822" s="125"/>
    </row>
    <row r="823">
      <c r="H823" s="125"/>
      <c r="J823" s="125"/>
      <c r="L823" s="125"/>
    </row>
    <row r="824">
      <c r="H824" s="125"/>
      <c r="J824" s="125"/>
      <c r="L824" s="125"/>
    </row>
    <row r="825">
      <c r="H825" s="125"/>
      <c r="J825" s="125"/>
      <c r="L825" s="125"/>
    </row>
    <row r="826">
      <c r="H826" s="125"/>
      <c r="J826" s="125"/>
      <c r="L826" s="125"/>
    </row>
    <row r="827">
      <c r="H827" s="125"/>
      <c r="J827" s="125"/>
      <c r="L827" s="125"/>
    </row>
    <row r="828">
      <c r="H828" s="125"/>
      <c r="J828" s="125"/>
      <c r="L828" s="125"/>
    </row>
    <row r="829">
      <c r="H829" s="125"/>
      <c r="J829" s="125"/>
      <c r="L829" s="125"/>
    </row>
    <row r="830">
      <c r="H830" s="125"/>
      <c r="J830" s="125"/>
      <c r="L830" s="125"/>
    </row>
    <row r="831">
      <c r="H831" s="125"/>
      <c r="J831" s="125"/>
      <c r="L831" s="125"/>
    </row>
    <row r="832">
      <c r="H832" s="125"/>
      <c r="J832" s="125"/>
      <c r="L832" s="125"/>
    </row>
    <row r="833">
      <c r="H833" s="125"/>
      <c r="J833" s="125"/>
      <c r="L833" s="125"/>
    </row>
    <row r="834">
      <c r="H834" s="125"/>
      <c r="J834" s="125"/>
      <c r="L834" s="125"/>
    </row>
    <row r="835">
      <c r="H835" s="125"/>
      <c r="J835" s="125"/>
      <c r="L835" s="125"/>
    </row>
    <row r="836">
      <c r="H836" s="125"/>
      <c r="J836" s="125"/>
      <c r="L836" s="125"/>
    </row>
    <row r="837">
      <c r="H837" s="125"/>
      <c r="J837" s="125"/>
      <c r="L837" s="125"/>
    </row>
    <row r="838">
      <c r="H838" s="125"/>
      <c r="J838" s="125"/>
      <c r="L838" s="125"/>
    </row>
    <row r="839">
      <c r="H839" s="125"/>
      <c r="J839" s="125"/>
      <c r="L839" s="125"/>
    </row>
    <row r="840">
      <c r="H840" s="125"/>
      <c r="J840" s="125"/>
      <c r="L840" s="125"/>
    </row>
    <row r="841">
      <c r="H841" s="125"/>
      <c r="J841" s="125"/>
      <c r="L841" s="125"/>
    </row>
    <row r="842">
      <c r="H842" s="125"/>
      <c r="J842" s="125"/>
      <c r="L842" s="125"/>
    </row>
    <row r="843">
      <c r="H843" s="125"/>
      <c r="J843" s="125"/>
      <c r="L843" s="125"/>
    </row>
    <row r="844">
      <c r="H844" s="125"/>
      <c r="J844" s="125"/>
      <c r="L844" s="125"/>
    </row>
    <row r="845">
      <c r="H845" s="125"/>
      <c r="J845" s="125"/>
      <c r="L845" s="125"/>
    </row>
    <row r="846">
      <c r="H846" s="125"/>
      <c r="J846" s="125"/>
      <c r="L846" s="125"/>
    </row>
    <row r="847">
      <c r="H847" s="125"/>
      <c r="J847" s="125"/>
      <c r="L847" s="125"/>
    </row>
    <row r="848">
      <c r="H848" s="125"/>
      <c r="J848" s="125"/>
      <c r="L848" s="125"/>
    </row>
    <row r="849">
      <c r="H849" s="125"/>
      <c r="J849" s="125"/>
      <c r="L849" s="125"/>
    </row>
    <row r="850">
      <c r="H850" s="125"/>
      <c r="J850" s="125"/>
      <c r="L850" s="125"/>
    </row>
    <row r="851">
      <c r="H851" s="125"/>
      <c r="J851" s="125"/>
      <c r="L851" s="125"/>
    </row>
    <row r="852">
      <c r="H852" s="125"/>
      <c r="J852" s="125"/>
      <c r="L852" s="125"/>
    </row>
    <row r="853">
      <c r="H853" s="125"/>
      <c r="J853" s="125"/>
      <c r="L853" s="125"/>
    </row>
    <row r="854">
      <c r="H854" s="125"/>
      <c r="J854" s="125"/>
      <c r="L854" s="125"/>
    </row>
    <row r="855">
      <c r="H855" s="125"/>
      <c r="J855" s="125"/>
      <c r="L855" s="125"/>
    </row>
    <row r="856">
      <c r="H856" s="125"/>
      <c r="J856" s="125"/>
      <c r="L856" s="125"/>
    </row>
    <row r="857">
      <c r="H857" s="125"/>
      <c r="J857" s="125"/>
      <c r="L857" s="125"/>
    </row>
    <row r="858">
      <c r="H858" s="125"/>
      <c r="J858" s="125"/>
      <c r="L858" s="125"/>
    </row>
    <row r="859">
      <c r="H859" s="125"/>
      <c r="J859" s="125"/>
      <c r="L859" s="125"/>
    </row>
    <row r="860">
      <c r="H860" s="125"/>
      <c r="J860" s="125"/>
      <c r="L860" s="125"/>
    </row>
    <row r="861">
      <c r="H861" s="125"/>
      <c r="J861" s="125"/>
      <c r="L861" s="125"/>
    </row>
    <row r="862">
      <c r="H862" s="125"/>
      <c r="J862" s="125"/>
      <c r="L862" s="125"/>
    </row>
    <row r="863">
      <c r="H863" s="125"/>
      <c r="J863" s="125"/>
      <c r="L863" s="125"/>
    </row>
    <row r="864">
      <c r="H864" s="125"/>
      <c r="J864" s="125"/>
      <c r="L864" s="125"/>
    </row>
    <row r="865">
      <c r="H865" s="125"/>
      <c r="J865" s="125"/>
      <c r="L865" s="125"/>
    </row>
    <row r="866">
      <c r="H866" s="125"/>
      <c r="J866" s="125"/>
      <c r="L866" s="125"/>
    </row>
    <row r="867">
      <c r="H867" s="125"/>
      <c r="J867" s="125"/>
      <c r="L867" s="125"/>
    </row>
    <row r="868">
      <c r="H868" s="125"/>
      <c r="J868" s="125"/>
      <c r="L868" s="125"/>
    </row>
    <row r="869">
      <c r="H869" s="125"/>
      <c r="J869" s="125"/>
      <c r="L869" s="125"/>
    </row>
    <row r="870">
      <c r="H870" s="125"/>
      <c r="J870" s="125"/>
      <c r="L870" s="125"/>
    </row>
    <row r="871">
      <c r="H871" s="125"/>
      <c r="J871" s="125"/>
      <c r="L871" s="125"/>
    </row>
    <row r="872">
      <c r="H872" s="125"/>
      <c r="J872" s="125"/>
      <c r="L872" s="125"/>
    </row>
    <row r="873">
      <c r="H873" s="125"/>
      <c r="J873" s="125"/>
      <c r="L873" s="125"/>
    </row>
    <row r="874">
      <c r="H874" s="125"/>
      <c r="J874" s="125"/>
      <c r="L874" s="125"/>
    </row>
    <row r="875">
      <c r="H875" s="125"/>
      <c r="J875" s="125"/>
      <c r="L875" s="125"/>
    </row>
    <row r="876">
      <c r="H876" s="125"/>
      <c r="J876" s="125"/>
      <c r="L876" s="125"/>
    </row>
    <row r="877">
      <c r="H877" s="125"/>
      <c r="J877" s="125"/>
      <c r="L877" s="125"/>
    </row>
    <row r="878">
      <c r="H878" s="125"/>
      <c r="J878" s="125"/>
      <c r="L878" s="125"/>
    </row>
    <row r="879">
      <c r="H879" s="125"/>
      <c r="J879" s="125"/>
      <c r="L879" s="125"/>
    </row>
    <row r="880">
      <c r="H880" s="125"/>
      <c r="J880" s="125"/>
      <c r="L880" s="125"/>
    </row>
    <row r="881">
      <c r="H881" s="125"/>
      <c r="J881" s="125"/>
      <c r="L881" s="125"/>
    </row>
    <row r="882">
      <c r="H882" s="125"/>
      <c r="J882" s="125"/>
      <c r="L882" s="125"/>
    </row>
    <row r="883">
      <c r="H883" s="125"/>
      <c r="J883" s="125"/>
      <c r="L883" s="125"/>
    </row>
    <row r="884">
      <c r="H884" s="125"/>
      <c r="J884" s="125"/>
      <c r="L884" s="125"/>
    </row>
    <row r="885">
      <c r="H885" s="125"/>
      <c r="J885" s="125"/>
      <c r="L885" s="125"/>
    </row>
    <row r="886">
      <c r="H886" s="125"/>
      <c r="J886" s="125"/>
      <c r="L886" s="125"/>
    </row>
    <row r="887">
      <c r="H887" s="125"/>
      <c r="J887" s="125"/>
      <c r="L887" s="125"/>
    </row>
    <row r="888">
      <c r="H888" s="125"/>
      <c r="J888" s="125"/>
      <c r="L888" s="125"/>
    </row>
    <row r="889">
      <c r="H889" s="125"/>
      <c r="J889" s="125"/>
      <c r="L889" s="125"/>
    </row>
    <row r="890">
      <c r="H890" s="125"/>
      <c r="J890" s="125"/>
      <c r="L890" s="125"/>
    </row>
    <row r="891">
      <c r="H891" s="125"/>
      <c r="J891" s="125"/>
      <c r="L891" s="125"/>
    </row>
    <row r="892">
      <c r="H892" s="125"/>
      <c r="J892" s="125"/>
      <c r="L892" s="125"/>
    </row>
    <row r="893">
      <c r="H893" s="125"/>
      <c r="J893" s="125"/>
      <c r="L893" s="125"/>
    </row>
    <row r="894">
      <c r="H894" s="125"/>
      <c r="J894" s="125"/>
      <c r="L894" s="125"/>
    </row>
    <row r="895">
      <c r="H895" s="125"/>
      <c r="J895" s="125"/>
      <c r="L895" s="125"/>
    </row>
    <row r="896">
      <c r="H896" s="125"/>
      <c r="J896" s="125"/>
      <c r="L896" s="125"/>
    </row>
    <row r="897">
      <c r="H897" s="125"/>
      <c r="J897" s="125"/>
      <c r="L897" s="125"/>
    </row>
    <row r="898">
      <c r="H898" s="125"/>
      <c r="J898" s="125"/>
      <c r="L898" s="125"/>
    </row>
    <row r="899">
      <c r="H899" s="125"/>
      <c r="J899" s="125"/>
      <c r="L899" s="125"/>
    </row>
    <row r="900">
      <c r="H900" s="125"/>
      <c r="J900" s="125"/>
      <c r="L900" s="125"/>
    </row>
    <row r="901">
      <c r="H901" s="125"/>
      <c r="J901" s="125"/>
      <c r="L901" s="125"/>
    </row>
    <row r="902">
      <c r="H902" s="125"/>
      <c r="J902" s="125"/>
      <c r="L902" s="125"/>
    </row>
    <row r="903">
      <c r="H903" s="125"/>
      <c r="J903" s="125"/>
      <c r="L903" s="125"/>
    </row>
    <row r="904">
      <c r="H904" s="125"/>
      <c r="J904" s="125"/>
      <c r="L904" s="125"/>
    </row>
    <row r="905">
      <c r="H905" s="125"/>
      <c r="J905" s="125"/>
      <c r="L905" s="125"/>
    </row>
    <row r="906">
      <c r="H906" s="125"/>
      <c r="J906" s="125"/>
      <c r="L906" s="125"/>
    </row>
    <row r="907">
      <c r="H907" s="125"/>
      <c r="J907" s="125"/>
      <c r="L907" s="125"/>
    </row>
    <row r="908">
      <c r="H908" s="125"/>
      <c r="J908" s="125"/>
      <c r="L908" s="125"/>
    </row>
    <row r="909">
      <c r="H909" s="125"/>
      <c r="J909" s="125"/>
      <c r="L909" s="125"/>
    </row>
    <row r="910">
      <c r="H910" s="125"/>
      <c r="J910" s="125"/>
      <c r="L910" s="125"/>
    </row>
    <row r="911">
      <c r="H911" s="125"/>
      <c r="J911" s="125"/>
      <c r="L911" s="125"/>
    </row>
    <row r="912">
      <c r="H912" s="125"/>
      <c r="J912" s="125"/>
      <c r="L912" s="125"/>
    </row>
    <row r="913">
      <c r="H913" s="125"/>
      <c r="J913" s="125"/>
      <c r="L913" s="125"/>
    </row>
    <row r="914">
      <c r="H914" s="125"/>
      <c r="J914" s="125"/>
      <c r="L914" s="125"/>
    </row>
    <row r="915">
      <c r="H915" s="125"/>
      <c r="J915" s="125"/>
      <c r="L915" s="125"/>
    </row>
    <row r="916">
      <c r="H916" s="125"/>
      <c r="J916" s="125"/>
      <c r="L916" s="125"/>
    </row>
    <row r="917">
      <c r="H917" s="125"/>
      <c r="J917" s="125"/>
      <c r="L917" s="125"/>
    </row>
    <row r="918">
      <c r="H918" s="125"/>
      <c r="J918" s="125"/>
      <c r="L918" s="125"/>
    </row>
    <row r="919">
      <c r="H919" s="125"/>
      <c r="J919" s="125"/>
      <c r="L919" s="125"/>
    </row>
    <row r="920">
      <c r="H920" s="125"/>
      <c r="J920" s="125"/>
      <c r="L920" s="125"/>
    </row>
    <row r="921">
      <c r="H921" s="125"/>
      <c r="J921" s="125"/>
      <c r="L921" s="125"/>
    </row>
    <row r="922">
      <c r="H922" s="125"/>
      <c r="J922" s="125"/>
      <c r="L922" s="125"/>
    </row>
    <row r="923">
      <c r="H923" s="125"/>
      <c r="J923" s="125"/>
      <c r="L923" s="125"/>
    </row>
    <row r="924">
      <c r="H924" s="125"/>
      <c r="J924" s="125"/>
      <c r="L924" s="125"/>
    </row>
    <row r="925">
      <c r="H925" s="125"/>
      <c r="J925" s="125"/>
      <c r="L925" s="125"/>
    </row>
    <row r="926">
      <c r="H926" s="125"/>
      <c r="J926" s="125"/>
      <c r="L926" s="125"/>
    </row>
    <row r="927">
      <c r="H927" s="125"/>
      <c r="J927" s="125"/>
      <c r="L927" s="125"/>
    </row>
    <row r="928">
      <c r="H928" s="125"/>
      <c r="J928" s="125"/>
      <c r="L928" s="125"/>
    </row>
    <row r="929">
      <c r="H929" s="125"/>
      <c r="J929" s="125"/>
      <c r="L929" s="125"/>
    </row>
    <row r="930">
      <c r="H930" s="125"/>
      <c r="J930" s="125"/>
      <c r="L930" s="125"/>
    </row>
    <row r="931">
      <c r="H931" s="125"/>
      <c r="J931" s="125"/>
      <c r="L931" s="125"/>
    </row>
    <row r="932">
      <c r="H932" s="125"/>
      <c r="J932" s="125"/>
      <c r="L932" s="125"/>
    </row>
    <row r="933">
      <c r="H933" s="125"/>
      <c r="J933" s="125"/>
      <c r="L933" s="125"/>
    </row>
    <row r="934">
      <c r="H934" s="125"/>
      <c r="J934" s="125"/>
      <c r="L934" s="125"/>
    </row>
    <row r="935">
      <c r="H935" s="125"/>
      <c r="J935" s="125"/>
      <c r="L935" s="125"/>
    </row>
    <row r="936">
      <c r="H936" s="125"/>
      <c r="J936" s="125"/>
      <c r="L936" s="125"/>
    </row>
    <row r="937">
      <c r="H937" s="125"/>
      <c r="J937" s="125"/>
      <c r="L937" s="125"/>
    </row>
    <row r="938">
      <c r="H938" s="125"/>
      <c r="J938" s="125"/>
      <c r="L938" s="125"/>
    </row>
    <row r="939">
      <c r="H939" s="125"/>
      <c r="J939" s="125"/>
      <c r="L939" s="125"/>
    </row>
    <row r="940">
      <c r="H940" s="125"/>
      <c r="J940" s="125"/>
      <c r="L940" s="125"/>
    </row>
    <row r="941">
      <c r="H941" s="125"/>
      <c r="J941" s="125"/>
      <c r="L941" s="125"/>
    </row>
    <row r="942">
      <c r="H942" s="125"/>
      <c r="J942" s="125"/>
      <c r="L942" s="125"/>
    </row>
    <row r="943">
      <c r="H943" s="125"/>
      <c r="J943" s="125"/>
      <c r="L943" s="125"/>
    </row>
    <row r="944">
      <c r="H944" s="125"/>
      <c r="J944" s="125"/>
      <c r="L944" s="125"/>
    </row>
    <row r="945">
      <c r="H945" s="125"/>
      <c r="J945" s="125"/>
      <c r="L945" s="125"/>
    </row>
    <row r="946">
      <c r="H946" s="125"/>
      <c r="J946" s="125"/>
      <c r="L946" s="125"/>
    </row>
    <row r="947">
      <c r="H947" s="125"/>
      <c r="J947" s="125"/>
      <c r="L947" s="125"/>
    </row>
    <row r="948">
      <c r="H948" s="125"/>
      <c r="J948" s="125"/>
      <c r="L948" s="125"/>
    </row>
    <row r="949">
      <c r="H949" s="125"/>
      <c r="J949" s="125"/>
      <c r="L949" s="125"/>
    </row>
    <row r="950">
      <c r="H950" s="125"/>
      <c r="J950" s="125"/>
      <c r="L950" s="125"/>
    </row>
    <row r="951">
      <c r="H951" s="125"/>
      <c r="J951" s="125"/>
      <c r="L951" s="125"/>
    </row>
    <row r="952">
      <c r="H952" s="125"/>
      <c r="J952" s="125"/>
      <c r="L952" s="125"/>
    </row>
    <row r="953">
      <c r="H953" s="125"/>
      <c r="J953" s="125"/>
      <c r="L953" s="125"/>
    </row>
    <row r="954">
      <c r="H954" s="125"/>
      <c r="J954" s="125"/>
      <c r="L954" s="125"/>
    </row>
    <row r="955">
      <c r="H955" s="125"/>
      <c r="J955" s="125"/>
      <c r="L955" s="125"/>
    </row>
    <row r="956">
      <c r="H956" s="125"/>
      <c r="J956" s="125"/>
      <c r="L956" s="125"/>
    </row>
    <row r="957">
      <c r="H957" s="125"/>
      <c r="J957" s="125"/>
      <c r="L957" s="125"/>
    </row>
    <row r="958">
      <c r="H958" s="125"/>
      <c r="J958" s="125"/>
      <c r="L958" s="125"/>
    </row>
    <row r="959">
      <c r="H959" s="125"/>
      <c r="J959" s="125"/>
      <c r="L959" s="125"/>
    </row>
    <row r="960">
      <c r="H960" s="125"/>
      <c r="J960" s="125"/>
      <c r="L960" s="125"/>
    </row>
    <row r="961">
      <c r="H961" s="125"/>
      <c r="J961" s="125"/>
      <c r="L961" s="125"/>
    </row>
    <row r="962">
      <c r="H962" s="125"/>
      <c r="J962" s="125"/>
      <c r="L962" s="125"/>
    </row>
    <row r="963">
      <c r="H963" s="125"/>
      <c r="J963" s="125"/>
      <c r="L963" s="125"/>
    </row>
    <row r="964">
      <c r="H964" s="125"/>
      <c r="J964" s="125"/>
      <c r="L964" s="125"/>
    </row>
    <row r="965">
      <c r="H965" s="125"/>
      <c r="J965" s="125"/>
      <c r="L965" s="125"/>
    </row>
    <row r="966">
      <c r="H966" s="125"/>
      <c r="J966" s="125"/>
      <c r="L966" s="125"/>
    </row>
    <row r="967">
      <c r="H967" s="125"/>
      <c r="J967" s="125"/>
      <c r="L967" s="125"/>
    </row>
    <row r="968">
      <c r="H968" s="125"/>
      <c r="J968" s="125"/>
      <c r="L968" s="125"/>
    </row>
    <row r="969">
      <c r="H969" s="125"/>
      <c r="J969" s="125"/>
      <c r="L969" s="125"/>
    </row>
    <row r="970">
      <c r="H970" s="125"/>
      <c r="J970" s="125"/>
      <c r="L970" s="125"/>
    </row>
    <row r="971">
      <c r="H971" s="125"/>
      <c r="J971" s="125"/>
      <c r="L971" s="125"/>
    </row>
    <row r="972">
      <c r="H972" s="125"/>
      <c r="J972" s="125"/>
      <c r="L972" s="125"/>
    </row>
    <row r="973">
      <c r="H973" s="125"/>
      <c r="J973" s="125"/>
      <c r="L973" s="125"/>
    </row>
    <row r="974">
      <c r="H974" s="125"/>
      <c r="J974" s="125"/>
      <c r="L974" s="125"/>
    </row>
    <row r="975">
      <c r="H975" s="125"/>
      <c r="J975" s="125"/>
      <c r="L975" s="125"/>
    </row>
    <row r="976">
      <c r="H976" s="125"/>
      <c r="J976" s="125"/>
      <c r="L976" s="125"/>
    </row>
    <row r="977">
      <c r="H977" s="125"/>
      <c r="J977" s="125"/>
      <c r="L977" s="125"/>
    </row>
    <row r="978">
      <c r="H978" s="125"/>
      <c r="J978" s="125"/>
      <c r="L978" s="125"/>
    </row>
    <row r="979">
      <c r="H979" s="125"/>
      <c r="J979" s="125"/>
      <c r="L979" s="125"/>
    </row>
    <row r="980">
      <c r="H980" s="125"/>
      <c r="J980" s="125"/>
      <c r="L980" s="125"/>
    </row>
    <row r="981">
      <c r="H981" s="125"/>
      <c r="J981" s="125"/>
      <c r="L981" s="125"/>
    </row>
    <row r="982">
      <c r="H982" s="125"/>
      <c r="J982" s="125"/>
      <c r="L982" s="125"/>
    </row>
    <row r="983">
      <c r="H983" s="125"/>
      <c r="J983" s="125"/>
      <c r="L983" s="125"/>
    </row>
    <row r="984">
      <c r="H984" s="125"/>
      <c r="J984" s="125"/>
      <c r="L984" s="125"/>
    </row>
    <row r="985">
      <c r="H985" s="125"/>
      <c r="J985" s="125"/>
      <c r="L985" s="125"/>
    </row>
    <row r="986">
      <c r="H986" s="125"/>
      <c r="J986" s="125"/>
      <c r="L986" s="125"/>
    </row>
    <row r="987">
      <c r="H987" s="125"/>
      <c r="J987" s="125"/>
      <c r="L987" s="125"/>
    </row>
    <row r="988">
      <c r="H988" s="125"/>
      <c r="J988" s="125"/>
      <c r="L988" s="125"/>
    </row>
    <row r="989">
      <c r="H989" s="125"/>
      <c r="J989" s="125"/>
      <c r="L989" s="125"/>
    </row>
    <row r="990">
      <c r="H990" s="125"/>
      <c r="J990" s="125"/>
      <c r="L990" s="125"/>
    </row>
    <row r="991">
      <c r="H991" s="125"/>
      <c r="J991" s="125"/>
      <c r="L991" s="125"/>
    </row>
    <row r="992">
      <c r="H992" s="125"/>
      <c r="J992" s="125"/>
      <c r="L992" s="125"/>
    </row>
    <row r="993">
      <c r="H993" s="125"/>
      <c r="J993" s="125"/>
      <c r="L993" s="125"/>
    </row>
    <row r="994">
      <c r="H994" s="125"/>
      <c r="J994" s="125"/>
      <c r="L994" s="125"/>
    </row>
    <row r="995">
      <c r="H995" s="125"/>
      <c r="J995" s="125"/>
      <c r="L995" s="125"/>
    </row>
    <row r="996">
      <c r="H996" s="125"/>
      <c r="J996" s="125"/>
      <c r="L996" s="125"/>
    </row>
    <row r="997">
      <c r="H997" s="125"/>
      <c r="J997" s="125"/>
      <c r="L997" s="125"/>
    </row>
    <row r="998">
      <c r="H998" s="125"/>
      <c r="J998" s="125"/>
      <c r="L998" s="125"/>
    </row>
    <row r="999">
      <c r="H999" s="125"/>
      <c r="J999" s="125"/>
      <c r="L999" s="125"/>
    </row>
    <row r="1000">
      <c r="H1000" s="125"/>
      <c r="J1000" s="125"/>
      <c r="L1000" s="125"/>
    </row>
    <row r="1001">
      <c r="H1001" s="125"/>
      <c r="J1001" s="125"/>
      <c r="L1001" s="125"/>
    </row>
    <row r="1002">
      <c r="H1002" s="125"/>
      <c r="J1002" s="125"/>
      <c r="L1002" s="125"/>
    </row>
    <row r="1003">
      <c r="H1003" s="125"/>
      <c r="J1003" s="125"/>
      <c r="L1003" s="125"/>
    </row>
    <row r="1004">
      <c r="H1004" s="125"/>
      <c r="J1004" s="125"/>
      <c r="L1004" s="125"/>
    </row>
    <row r="1005">
      <c r="H1005" s="125"/>
      <c r="J1005" s="125"/>
      <c r="L1005" s="125"/>
    </row>
    <row r="1006">
      <c r="H1006" s="125"/>
      <c r="J1006" s="125"/>
      <c r="L1006" s="125"/>
    </row>
    <row r="1007">
      <c r="H1007" s="125"/>
      <c r="J1007" s="125"/>
      <c r="L1007" s="125"/>
    </row>
    <row r="1008">
      <c r="H1008" s="125"/>
      <c r="J1008" s="125"/>
      <c r="L1008" s="125"/>
    </row>
    <row r="1009">
      <c r="H1009" s="125"/>
      <c r="J1009" s="125"/>
      <c r="L1009" s="125"/>
    </row>
    <row r="1010">
      <c r="H1010" s="125"/>
      <c r="J1010" s="125"/>
      <c r="L1010" s="125"/>
    </row>
    <row r="1011">
      <c r="H1011" s="125"/>
      <c r="J1011" s="125"/>
      <c r="L1011" s="125"/>
    </row>
    <row r="1012">
      <c r="H1012" s="125"/>
      <c r="J1012" s="125"/>
      <c r="L1012" s="125"/>
    </row>
    <row r="1013">
      <c r="H1013" s="125"/>
      <c r="J1013" s="125"/>
      <c r="L1013" s="125"/>
    </row>
    <row r="1014">
      <c r="H1014" s="125"/>
      <c r="J1014" s="125"/>
      <c r="L1014" s="125"/>
    </row>
    <row r="1015">
      <c r="H1015" s="125"/>
      <c r="J1015" s="125"/>
      <c r="L1015" s="125"/>
    </row>
    <row r="1016">
      <c r="H1016" s="125"/>
      <c r="J1016" s="125"/>
      <c r="L1016" s="125"/>
    </row>
    <row r="1017">
      <c r="H1017" s="125"/>
      <c r="J1017" s="125"/>
      <c r="L1017" s="125"/>
    </row>
    <row r="1018">
      <c r="H1018" s="125"/>
      <c r="J1018" s="125"/>
      <c r="L1018" s="125"/>
    </row>
    <row r="1019">
      <c r="H1019" s="125"/>
      <c r="J1019" s="125"/>
      <c r="L1019" s="125"/>
    </row>
    <row r="1020">
      <c r="H1020" s="125"/>
      <c r="J1020" s="125"/>
      <c r="L1020" s="125"/>
    </row>
    <row r="1021">
      <c r="H1021" s="125"/>
      <c r="J1021" s="125"/>
      <c r="L1021" s="125"/>
    </row>
  </sheetData>
  <mergeCells count="28">
    <mergeCell ref="A1:O1"/>
    <mergeCell ref="A2:O2"/>
    <mergeCell ref="A3:O3"/>
    <mergeCell ref="A4:N4"/>
    <mergeCell ref="A5:N5"/>
    <mergeCell ref="A6:O6"/>
    <mergeCell ref="C70:F70"/>
    <mergeCell ref="C71:F71"/>
    <mergeCell ref="C72:F72"/>
    <mergeCell ref="C73:F73"/>
    <mergeCell ref="C74:F74"/>
    <mergeCell ref="C75:F75"/>
    <mergeCell ref="C76:F76"/>
    <mergeCell ref="C78:F78"/>
    <mergeCell ref="B90:B91"/>
    <mergeCell ref="B92:B93"/>
    <mergeCell ref="C95:F95"/>
    <mergeCell ref="C96:F96"/>
    <mergeCell ref="C97:F97"/>
    <mergeCell ref="C98:F98"/>
    <mergeCell ref="C99:F99"/>
    <mergeCell ref="C79:F79"/>
    <mergeCell ref="C80:F80"/>
    <mergeCell ref="C81:F81"/>
    <mergeCell ref="C82:F82"/>
    <mergeCell ref="C83:F83"/>
    <mergeCell ref="B86:B87"/>
    <mergeCell ref="B88:B89"/>
  </mergeCells>
  <conditionalFormatting sqref="H8:L69">
    <cfRule type="containsBlanks" dxfId="0" priority="1">
      <formula>LEN(TRIM(H8))=0</formula>
    </cfRule>
  </conditionalFormatting>
  <conditionalFormatting sqref="H8:L69">
    <cfRule type="cellIs" dxfId="1" priority="2" operator="lessThan">
      <formula>50</formula>
    </cfRule>
  </conditionalFormatting>
  <conditionalFormatting sqref="H8:L69">
    <cfRule type="cellIs" dxfId="2" priority="3" operator="equal">
      <formula>"A"</formula>
    </cfRule>
  </conditionalFormatting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61" t="s">
        <v>251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162" t="s">
        <v>252</v>
      </c>
    </row>
    <row r="4">
      <c r="A4" s="2"/>
      <c r="B4" s="2"/>
      <c r="C4" s="2"/>
      <c r="D4" s="2"/>
      <c r="E4" s="2"/>
      <c r="F4" s="2"/>
      <c r="G4" s="2"/>
      <c r="H4" s="2"/>
    </row>
    <row r="5">
      <c r="A5" s="163" t="s">
        <v>253</v>
      </c>
    </row>
    <row r="6">
      <c r="A6" s="2"/>
      <c r="B6" s="2"/>
      <c r="C6" s="2"/>
      <c r="D6" s="2"/>
      <c r="E6" s="2"/>
      <c r="F6" s="2"/>
      <c r="G6" s="2"/>
      <c r="H6" s="2"/>
    </row>
    <row r="7">
      <c r="A7" s="5" t="s">
        <v>3</v>
      </c>
    </row>
    <row r="8">
      <c r="A8" s="164" t="s">
        <v>254</v>
      </c>
    </row>
    <row r="9">
      <c r="A9" s="2"/>
      <c r="B9" s="2"/>
      <c r="C9" s="2"/>
      <c r="D9" s="2"/>
      <c r="E9" s="2"/>
      <c r="F9" s="2"/>
      <c r="G9" s="2"/>
      <c r="H9" s="2"/>
    </row>
    <row r="10">
      <c r="A10" s="165"/>
    </row>
    <row r="11">
      <c r="A11" s="161"/>
      <c r="B11" s="2"/>
      <c r="C11" s="166"/>
      <c r="D11" s="166"/>
      <c r="E11" s="166"/>
      <c r="F11" s="166"/>
      <c r="G11" s="166"/>
      <c r="H11" s="2"/>
    </row>
    <row r="12">
      <c r="A12" s="2"/>
      <c r="B12" s="167"/>
      <c r="C12" s="168" t="s">
        <v>255</v>
      </c>
      <c r="D12" s="168" t="s">
        <v>256</v>
      </c>
      <c r="E12" s="168" t="s">
        <v>257</v>
      </c>
      <c r="F12" s="168" t="s">
        <v>258</v>
      </c>
      <c r="G12" s="168" t="s">
        <v>259</v>
      </c>
      <c r="H12" s="2"/>
    </row>
    <row r="13">
      <c r="A13" s="2"/>
      <c r="B13" s="167"/>
      <c r="C13" s="169"/>
      <c r="D13" s="169"/>
      <c r="E13" s="169"/>
      <c r="F13" s="169"/>
      <c r="G13" s="169"/>
      <c r="H13" s="2"/>
    </row>
    <row r="14">
      <c r="A14" s="2"/>
      <c r="B14" s="167"/>
      <c r="C14" s="170" t="s">
        <v>260</v>
      </c>
      <c r="D14" s="170">
        <f>(COUNT('AIDS A'!A8:A69)+COUNT('AIDS B'!A8:A69)+COUNT('AIDS C'!A8:A69))</f>
        <v>186</v>
      </c>
      <c r="E14" s="171">
        <f>D14-F14</f>
        <v>94</v>
      </c>
      <c r="F14" s="171">
        <f>'AIDS A'!H80+'AIDS B'!H80+'AIDS C'!H79</f>
        <v>92</v>
      </c>
      <c r="G14" s="172">
        <f>(E14/D14)*100</f>
        <v>50.53763441</v>
      </c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173" t="s">
        <v>261</v>
      </c>
      <c r="C16" s="174"/>
      <c r="D16" s="174"/>
      <c r="E16" s="174"/>
      <c r="F16" s="174"/>
      <c r="G16" s="174"/>
      <c r="H16" s="175"/>
    </row>
    <row r="17">
      <c r="A17" s="176"/>
      <c r="B17" s="177" t="s">
        <v>255</v>
      </c>
      <c r="C17" s="178" t="s">
        <v>13</v>
      </c>
      <c r="D17" s="178" t="s">
        <v>14</v>
      </c>
      <c r="E17" s="178" t="s">
        <v>15</v>
      </c>
      <c r="F17" s="178" t="s">
        <v>16</v>
      </c>
      <c r="G17" s="178" t="s">
        <v>17</v>
      </c>
      <c r="H17" s="177" t="s">
        <v>262</v>
      </c>
    </row>
    <row r="18">
      <c r="A18" s="167"/>
      <c r="B18" s="170" t="s">
        <v>260</v>
      </c>
      <c r="C18" s="170">
        <f>'AIDS A'!H75+'AIDS B'!H75+'AIDS A'!H73+'AIDS B'!H73+'AIDS C'!H74+'AIDS C'!H72</f>
        <v>24</v>
      </c>
      <c r="D18" s="170">
        <f>'AIDS A'!I75+'AIDS B'!I75+'AIDS A'!I73+'AIDS B'!I73+'AIDS C'!I74+'AIDS C'!I72</f>
        <v>24</v>
      </c>
      <c r="E18" s="170">
        <f>'AIDS A'!J75+'AIDS B'!J75+'AIDS A'!J73+'AIDS B'!J73+'AIDS C'!J74+'AIDS C'!J72</f>
        <v>42</v>
      </c>
      <c r="F18" s="170">
        <f>'AIDS A'!K75+'AIDS B'!K75+'AIDS A'!K73+'AIDS B'!K73+'AIDS C'!K74+'AIDS C'!K72</f>
        <v>63</v>
      </c>
      <c r="G18" s="170">
        <f>'AIDS A'!L75+'AIDS B'!L75+'AIDS A'!L73+'AIDS B'!L73+'AIDS C'!L74+'AIDS C'!L72</f>
        <v>27</v>
      </c>
      <c r="H18" s="179">
        <f t="shared" ref="H18:H19" si="1">sum(C18:G18)</f>
        <v>180</v>
      </c>
    </row>
    <row r="19">
      <c r="A19" s="167"/>
      <c r="B19" s="170" t="s">
        <v>263</v>
      </c>
      <c r="C19" s="180">
        <f>'AIDS A'!H77+'AIDS B'!H77+'AIDS C'!H76</f>
        <v>4</v>
      </c>
      <c r="D19" s="180">
        <f>'AIDS A'!I77+'AIDS B'!I77+'AIDS C'!I76</f>
        <v>3</v>
      </c>
      <c r="E19" s="180">
        <f>'AIDS A'!J77+'AIDS B'!J77+'AIDS C'!J76</f>
        <v>6</v>
      </c>
      <c r="F19" s="180">
        <f>'AIDS A'!K77+'AIDS B'!K77+'AIDS C'!K76</f>
        <v>20</v>
      </c>
      <c r="G19" s="180">
        <f>'AIDS A'!L77+'AIDS B'!L77+'AIDS C'!L76</f>
        <v>6</v>
      </c>
      <c r="H19" s="170">
        <f t="shared" si="1"/>
        <v>39</v>
      </c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166"/>
      <c r="C21" s="166"/>
      <c r="D21" s="166"/>
      <c r="E21" s="166"/>
      <c r="F21" s="166"/>
      <c r="G21" s="166"/>
      <c r="H21" s="2"/>
    </row>
    <row r="22">
      <c r="A22" s="167"/>
      <c r="B22" s="181" t="s">
        <v>255</v>
      </c>
      <c r="C22" s="181" t="s">
        <v>264</v>
      </c>
      <c r="D22" s="181" t="s">
        <v>265</v>
      </c>
      <c r="E22" s="181" t="s">
        <v>266</v>
      </c>
      <c r="F22" s="181" t="s">
        <v>267</v>
      </c>
      <c r="G22" s="181" t="s">
        <v>268</v>
      </c>
      <c r="H22" s="182" t="s">
        <v>269</v>
      </c>
    </row>
    <row r="23">
      <c r="A23" s="167"/>
      <c r="B23" s="170" t="s">
        <v>260</v>
      </c>
      <c r="C23" s="170">
        <f>(COUNTIF(('AIDS A'!N8:N69),"=1"))+(COUNTIF(('AIDS B'!N8:N69),"=1"))+(COUNTIF(('AIDS C'!N8:N69),"=1"))</f>
        <v>39</v>
      </c>
      <c r="D23" s="170">
        <f>(COUNTIF(('AIDS A'!N8:N69),"=2"))+(COUNTIF(('AIDS B'!N8:N69),"=2"))+(COUNTIF(('AIDS C'!N8:N69),"=2"))</f>
        <v>30</v>
      </c>
      <c r="E23" s="170">
        <f>(COUNTIF(('AIDS A'!N8:N69),"=3"))+(COUNTIF(('AIDS B'!N8:N69),"=3"))+(COUNTIF(('AIDS C'!N8:N69),"=3"))</f>
        <v>13</v>
      </c>
      <c r="F23" s="170">
        <f>(COUNTIF(('AIDS A'!N8:N69),"=4"))+(COUNTIF(('AIDS B'!N8:N69),"=4"))+(COUNTIF(('AIDS C'!N8:N69),"=4"))</f>
        <v>8</v>
      </c>
      <c r="G23" s="170">
        <f>(COUNTIF(('AIDS A'!N8:N69),"=5"))+(COUNTIF(('AIDS B'!N8:N69),"=5"))+(COUNTIF(('AIDS C'!N8:N69),"=5"))</f>
        <v>2</v>
      </c>
      <c r="H23" s="183">
        <f>(C23*1)+(D23*2)+(E23*3)+(F23*4)+(G23*5)</f>
        <v>180</v>
      </c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</sheetData>
  <mergeCells count="12">
    <mergeCell ref="D12:D13"/>
    <mergeCell ref="E12:E13"/>
    <mergeCell ref="F12:F13"/>
    <mergeCell ref="G12:G13"/>
    <mergeCell ref="A1:H1"/>
    <mergeCell ref="A3:H3"/>
    <mergeCell ref="A5:H5"/>
    <mergeCell ref="A7:H7"/>
    <mergeCell ref="A8:H8"/>
    <mergeCell ref="A10:H10"/>
    <mergeCell ref="C12:C13"/>
    <mergeCell ref="B16:H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